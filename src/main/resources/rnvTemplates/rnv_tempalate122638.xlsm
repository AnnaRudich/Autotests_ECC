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mc:Choice Requires="x15">
      <x15ac:absPath xmlns:x15ac="http://schemas.microsoft.com/office/spreadsheetml/2010/11/ac" url="C:\Users\vti\Desktop\"/>
    </mc:Choice>
  </mc:AlternateContent>
  <bookViews>
    <workbookView xWindow="0" yWindow="0" windowWidth="20325" windowHeight="9135" tabRatio="403"/>
  </bookViews>
  <sheets>
    <sheet name="Template" sheetId="2" r:id="rId1"/>
    <sheet name="Invoice" sheetId="1" r:id="rId2"/>
    <sheet name="Lists" sheetId="3" r:id="rId3"/>
    <sheet name="Categories" r:id="rId9" sheetId="4" state="hidden"/>
  </sheets>
  <definedNames>
    <definedName name="ageMonths" localSheetId="0">Template!$J$23</definedName>
    <definedName name="ageYears" localSheetId="0">Template!$K$23</definedName>
    <definedName name="category" localSheetId="0">Template!$F$23</definedName>
    <definedName name="claimNumber" localSheetId="0">Template!$C$16</definedName>
    <definedName name="customerDemand" localSheetId="0">Template!$N$23</definedName>
    <definedName name="description" localSheetId="0">Template!$E$23</definedName>
    <definedName name="discretionaryValuation" localSheetId="0">Template!$O$23</definedName>
    <definedName name="insuranceCompanyName" localSheetId="0">Template!$C$14</definedName>
    <definedName name="invoiceBankAccountNumber" localSheetId="1">Invoice!$D$21</definedName>
    <definedName name="invoiceBankName" localSheetId="1">Invoice!$D$19</definedName>
    <definedName name="invoiceBankRegNumber" localSheetId="1">Invoice!$D$20</definedName>
    <definedName name="invoiceCreditNoteNumber" localSheetId="1">Invoice!$J$7</definedName>
    <definedName name="invoiceDate" localSheetId="1">Invoice!$J$5</definedName>
    <definedName name="invoiceDateOfValuation" localSheetId="1">Invoice!$J$9</definedName>
    <definedName name="invoiceDescription" localSheetId="1">Invoice!$C$25</definedName>
    <definedName name="invoiceFikCreditorCode" localSheetId="1">Invoice!$J$13</definedName>
    <definedName name="invoiceFikNumber" localSheetId="1">Invoice!$J$12</definedName>
    <definedName name="invoiceFikType" localSheetId="1">Invoice!$J$11</definedName>
    <definedName name="invoiceIbanNumber" localSheetId="1">Invoice!$D$22</definedName>
    <definedName name="invoiceLineIndex" localSheetId="1">Invoice!$B$25</definedName>
    <definedName name="invoiceLineTotal" localSheetId="1">Invoice!$K$25</definedName>
    <definedName name="invoiceNameOfValuationResponsible" localSheetId="1">Invoice!$J$8</definedName>
    <definedName name="invoiceNetAmount" localSheetId="1">Invoice!$K$36</definedName>
    <definedName name="invoiceNumber" localSheetId="1">Invoice!$J$4</definedName>
    <definedName name="invoicePaymentDueDate" localSheetId="1">Invoice!$J$6</definedName>
    <definedName name="invoiceQuantity" localSheetId="1">Invoice!$E$25</definedName>
    <definedName name="invoiceSepaAddress1" localSheetId="1">Invoice!$D$4</definedName>
    <definedName name="invoiceSepaAddress2" localSheetId="1">Invoice!$D$5</definedName>
    <definedName name="invoiceSepaCity" localSheetId="1">Invoice!$D$7</definedName>
    <definedName name="invoiceSepaCvr" localSheetId="1">Invoice!$D$10</definedName>
    <definedName name="invoiceSepaEmail" localSheetId="1">Invoice!$D$9</definedName>
    <definedName name="invoiceSepaId" localSheetId="1">Invoice!$D$1</definedName>
    <definedName name="invoiceSepaName" localSheetId="1">Invoice!$D$3</definedName>
    <definedName name="invoiceSepaPhone" localSheetId="1">Invoice!$D$8</definedName>
    <definedName name="invoiceSepaPostalCode" localSheetId="1">Invoice!$D$6</definedName>
    <definedName name="invoiceTotalAmount" localSheetId="1">Invoice!$K$38</definedName>
    <definedName name="invoiceType" localSheetId="1">Invoice!$J$3</definedName>
    <definedName name="invoiceUnitNetAmount" localSheetId="1">Invoice!$I$25</definedName>
    <definedName name="invoiceUnitPrice" localSheetId="1">Invoice!$G$25</definedName>
    <definedName name="invoiceUnits" localSheetId="1">Invoice!$F$25</definedName>
    <definedName name="invoiceUnitVatAmount" localSheetId="1">Invoice!$J$25</definedName>
    <definedName name="invoiceVat" localSheetId="1">Invoice!$K$37</definedName>
    <definedName name="lineGuid" localSheetId="0">Template!$B$23</definedName>
    <definedName name="lineIndex" localSheetId="0">Template!$A$23</definedName>
    <definedName name="newPrice" localSheetId="0">Template!$M$23</definedName>
    <definedName name="originalDescription" localSheetId="0">Template!$D$23</definedName>
    <definedName name="purchasePrice" localSheetId="0">Template!$L$23</definedName>
    <definedName name="quantity" localSheetId="0">Template!$H$23</definedName>
    <definedName name="repairEstimate" localSheetId="0">Template!$T$23</definedName>
    <definedName name="repairPrice" localSheetId="0">Template!$U$23</definedName>
    <definedName name="replyAddress" localSheetId="0">Template!$E$8</definedName>
    <definedName name="servicePartnerNote" localSheetId="0">Template!$X$23</definedName>
    <definedName name="subCategory" localSheetId="0">Template!$G$23</definedName>
    <definedName name="usedPrice" localSheetId="0">Template!$P$23</definedName>
    <definedName name="CategoriesDD">'Categories'!$A$1:$T$1</definedName>
    <definedName name="_BIL__BÅD___MC">'Categories'!$A$3:$N$3</definedName>
    <definedName name="_BRILLER__LINSER___HØRELSE">'Categories'!$A$5:$E$5</definedName>
    <definedName name="_BØRN">'Categories'!$A$7:$F$7</definedName>
    <definedName name="_COMPUTER___SOFTWARE">'Categories'!$A$9:$K$9</definedName>
    <definedName name="_CYKLER___TILBEHØR">'Categories'!$A$11:$E$11</definedName>
    <definedName name="_FOTO___VIDEO">'Categories'!$A$13:$J$13</definedName>
    <definedName name="_HAVE___GØR_DET_SELV">'Categories'!$A$15:$S$15</definedName>
    <definedName name="_HUS___INTERIØR">'Categories'!$A$17:$W$17</definedName>
    <definedName name="_KONTANTER__ID_OG_KORT_MM.">'Categories'!$A$19:$D$19</definedName>
    <definedName name="_LYD___BILLEDE">'Categories'!$A$21:$O$21</definedName>
    <definedName name="_MUSIK__FILM___SPIL">'Categories'!$A$23:$G$23</definedName>
    <definedName name="_PERSONLIG_PLEJE">'Categories'!$A$25:$F$25</definedName>
    <definedName name="_PUNGE__TASKER___KUFFERTER">'Categories'!$A$27:$J$27</definedName>
    <definedName name="_REJSESKADER">'Categories'!$A$29:$A$29</definedName>
    <definedName name="_SKADEUDGIFTER">'Categories'!$A$31:$I$31</definedName>
    <definedName name="_SMYKKER__URE___TILBEHØR">'Categories'!$A$33:$G$33</definedName>
    <definedName name="_SPORT__FRITID___HOBBY">'Categories'!$A$35:$AF$35</definedName>
    <definedName name="_TELEFONI">'Categories'!$A$37:$D$37</definedName>
    <definedName name="_TØJ___SKO">'Categories'!$A$39:$I$39</definedName>
    <definedName name="_ØVRIGE">'Categories'!$A$41:$A$41</definedName>
  </definedNames>
  <calcPr calcId="152511"/>
  <extLst>
    <ext uri="{140A7094-0E35-4892-8432-C4D2E57EDEB5}">
      <x15:workbookPr chartTrackingRefBase="1"/>
    </ext>
  </extLst>
</workbook>
</file>

<file path=xl/calcChain.xml><?xml version="1.0" encoding="utf-8"?>
<calcChain xmlns="http://schemas.openxmlformats.org/spreadsheetml/2006/main">
  <c r="I27" i="1" l="1"/>
  <c r="J27" i="1"/>
  <c r="K27" i="1"/>
  <c r="I28" i="1"/>
  <c r="J28" i="1"/>
  <c r="K28" i="1"/>
  <c r="I29" i="1"/>
  <c r="J29" i="1"/>
  <c r="K29" i="1"/>
  <c r="I30" i="1"/>
  <c r="J30" i="1"/>
  <c r="K30" i="1"/>
  <c r="I31" i="1"/>
  <c r="J31" i="1"/>
  <c r="K31" i="1"/>
  <c r="I32" i="1"/>
  <c r="J32" i="1"/>
  <c r="K32" i="1"/>
  <c r="I33" i="1"/>
  <c r="J33" i="1"/>
  <c r="K33" i="1"/>
  <c r="I34" i="1"/>
  <c r="J34" i="1"/>
  <c r="K34" i="1"/>
  <c r="I35" i="1"/>
  <c r="J35" i="1"/>
  <c r="K35" i="1"/>
  <c r="I26" i="1"/>
  <c r="J26" i="1" s="1"/>
  <c r="K26" i="1" l="1"/>
  <c r="C3" i="3" l="1"/>
  <c r="C2" i="3"/>
  <c r="K38" i="1" l="1"/>
  <c r="K36" i="1"/>
  <c r="K37" i="1"/>
</calcChain>
</file>

<file path=xl/sharedStrings.xml><?xml version="1.0" encoding="utf-8"?>
<sst xmlns="http://schemas.openxmlformats.org/spreadsheetml/2006/main" count="621" uniqueCount="573">
  <si>
    <t>Service Partner ID</t>
  </si>
  <si>
    <t>${servicePartner.id}</t>
  </si>
  <si>
    <t>${servicePartner.name}</t>
  </si>
  <si>
    <t>${servicePartner.address1}</t>
  </si>
  <si>
    <t>${servicePartner.address2}</t>
  </si>
  <si>
    <t>${servicePartner.postalCode}</t>
  </si>
  <si>
    <t>${servicePartner.city}</t>
  </si>
  <si>
    <t>${servicePartner.phone}</t>
  </si>
  <si>
    <t>${servicePartner.email}</t>
  </si>
  <si>
    <t>${servicePartner.cvrNumber}</t>
  </si>
  <si>
    <t>FIK Type:</t>
  </si>
  <si>
    <t>FIK Number:</t>
  </si>
  <si>
    <t>FIK Creditor Code:</t>
  </si>
  <si>
    <t>##</t>
  </si>
  <si>
    <t>Description</t>
  </si>
  <si>
    <t>Quantity</t>
  </si>
  <si>
    <t>Claimant</t>
  </si>
  <si>
    <t>Claimant Name</t>
  </si>
  <si>
    <t>${claimant.name}</t>
  </si>
  <si>
    <t>${replyAddress}</t>
  </si>
  <si>
    <t>Claimant Phone</t>
  </si>
  <si>
    <t>${claimant.phone}</t>
  </si>
  <si>
    <t>Claimant Mobile Phone</t>
  </si>
  <si>
    <t>${claimant.mobilePhone}</t>
  </si>
  <si>
    <t>Claimant Address 1</t>
  </si>
  <si>
    <t>${claimant.address1}</t>
  </si>
  <si>
    <t>Claimant Address 2</t>
  </si>
  <si>
    <t>${claimant.address2}</t>
  </si>
  <si>
    <t>Claimant Postal Code</t>
  </si>
  <si>
    <t>${claimant.postalCode}</t>
  </si>
  <si>
    <t>Claimant City</t>
  </si>
  <si>
    <t>${claimant.city}</t>
  </si>
  <si>
    <t>Claimant E-mail</t>
  </si>
  <si>
    <t>${claimant.email}</t>
  </si>
  <si>
    <t>Claim</t>
  </si>
  <si>
    <t>Insurance Company ID</t>
  </si>
  <si>
    <t>${claim.insuranceCompanyId}</t>
  </si>
  <si>
    <t>Insurance Company</t>
  </si>
  <si>
    <t>${claim.insuranceCompanyName}</t>
  </si>
  <si>
    <t>Claims Handler / Assessor name</t>
  </si>
  <si>
    <t>Claim Number</t>
  </si>
  <si>
    <t>${claim.claimNumber}</t>
  </si>
  <si>
    <t>Self Risk</t>
  </si>
  <si>
    <t>${claim.selfRisk}</t>
  </si>
  <si>
    <t>Claim Date</t>
  </si>
  <si>
    <t>${claim.claimDate}</t>
  </si>
  <si>
    <t>Customer note to claim</t>
  </si>
  <si>
    <t>${claim.customerNoteToClaim}</t>
  </si>
  <si>
    <t>Claim line ID</t>
  </si>
  <si>
    <t>Claim line GUID</t>
  </si>
  <si>
    <t>Original description</t>
  </si>
  <si>
    <t>Category (Category Group)</t>
  </si>
  <si>
    <t>Sub-Category (Pseudo Category)</t>
  </si>
  <si>
    <t>Age, months</t>
  </si>
  <si>
    <t>Age, years</t>
  </si>
  <si>
    <t>Claimed amount</t>
  </si>
  <si>
    <t>New Price</t>
  </si>
  <si>
    <t>Customer Demand</t>
  </si>
  <si>
    <t>Discretionary replacement</t>
  </si>
  <si>
    <t>Used price</t>
  </si>
  <si>
    <t>Product price</t>
  </si>
  <si>
    <t>Retail price</t>
  </si>
  <si>
    <t>Product that was matched</t>
  </si>
  <si>
    <t>Repair estimate</t>
  </si>
  <si>
    <t>Repair price</t>
  </si>
  <si>
    <t>Customer notes to claim line</t>
  </si>
  <si>
    <t>Task type</t>
  </si>
  <si>
    <t>Service partner note</t>
  </si>
  <si>
    <t>&lt;jx:forEach items="${serviceLines}" var="serviceLine"&gt;</t>
  </si>
  <si>
    <t>${serviceLine.lineIndex}</t>
  </si>
  <si>
    <t>${serviceLine.lineGUID}</t>
  </si>
  <si>
    <t>${serviceLine.originalDescription}</t>
  </si>
  <si>
    <t>${serviceLine.description}</t>
  </si>
  <si>
    <t>${serviceLine.categoryName}</t>
  </si>
  <si>
    <t>${serviceLine.subCategoryName}</t>
  </si>
  <si>
    <t>${serviceLine.quantity}</t>
  </si>
  <si>
    <t>${serviceLine.ageMonths}</t>
  </si>
  <si>
    <t>${serviceLine.ageYears}</t>
  </si>
  <si>
    <t>${serviceLine.purchasePrice}</t>
  </si>
  <si>
    <t>${serviceLine.newPrice}</t>
  </si>
  <si>
    <t>${serviceLine.customerDemand}</t>
  </si>
  <si>
    <t>${serviceLine.discretionaryValuation}</t>
  </si>
  <si>
    <t>${serviceLine.usedPrice}</t>
  </si>
  <si>
    <t>${serviceLine.productPrice}</t>
  </si>
  <si>
    <t>${serviceLine.retailPrice}</t>
  </si>
  <si>
    <t>${serviceLine.productThatWasMatched}</t>
  </si>
  <si>
    <t>${serviceLine.repairEstimate}</t>
  </si>
  <si>
    <t>${serviceLine.repairPrice}</t>
  </si>
  <si>
    <t>${serviceLine.customerNotesToClaimLine}</t>
  </si>
  <si>
    <t>${serviceLine.taskType}</t>
  </si>
  <si>
    <t>&lt;/jx:forEach&gt;</t>
  </si>
  <si>
    <t>Depreciation</t>
  </si>
  <si>
    <t>${serviceLine.depreciation}</t>
  </si>
  <si>
    <t>Invoice Type</t>
  </si>
  <si>
    <t>FIK Type</t>
  </si>
  <si>
    <t>Yes/no</t>
  </si>
  <si>
    <t>Ja</t>
  </si>
  <si>
    <t>Nej</t>
  </si>
  <si>
    <t>Total</t>
  </si>
  <si>
    <t>Service Partner</t>
  </si>
  <si>
    <t>Service Partner Address 1</t>
  </si>
  <si>
    <t>Service Partner Address 2</t>
  </si>
  <si>
    <t>Service Partner Postal сode</t>
  </si>
  <si>
    <t>Service Partner City</t>
  </si>
  <si>
    <t>Service Partner Phone</t>
  </si>
  <si>
    <t>Service Partner Email</t>
  </si>
  <si>
    <t>Service Partner Company number (CVR)</t>
  </si>
  <si>
    <t>Bank name:</t>
  </si>
  <si>
    <t>Bank registration number:</t>
  </si>
  <si>
    <t>Bank account number:</t>
  </si>
  <si>
    <t>IBAN number:</t>
  </si>
  <si>
    <t>Invoice Type:</t>
  </si>
  <si>
    <t>Invoice Number:</t>
  </si>
  <si>
    <t>Invoice date:</t>
  </si>
  <si>
    <t>Payment Due Date:</t>
  </si>
  <si>
    <t>Credit Note Number:</t>
  </si>
  <si>
    <t>Name of Valuation Responsible:</t>
  </si>
  <si>
    <t>Date of valuation:</t>
  </si>
  <si>
    <t>Unit</t>
  </si>
  <si>
    <t>Unit Price</t>
  </si>
  <si>
    <t>VAT (%)</t>
  </si>
  <si>
    <t>Price</t>
  </si>
  <si>
    <t>VAT</t>
  </si>
  <si>
    <t>Line Total</t>
  </si>
  <si>
    <t>Net Amount:</t>
  </si>
  <si>
    <t>VAT:</t>
  </si>
  <si>
    <t>Total Invoice Amount:</t>
  </si>
  <si>
    <t>Use this button to return the report (and invoice if any) to the insurance company</t>
  </si>
  <si>
    <t>Or send it manually via your mail client (save this Excel first to your local computer). This is required if you need to add attachment/documentation.</t>
  </si>
  <si>
    <t>Invoice</t>
  </si>
  <si>
    <t>Credit Note</t>
  </si>
  <si>
    <t>${claim.claimHandlerFullName}</t>
  </si>
  <si>
    <t>${servicePartner.bank.regNumber}</t>
  </si>
  <si>
    <t>${servicePartner.bank.accountNumber}</t>
  </si>
  <si>
    <t>GIRO number:</t>
  </si>
  <si>
    <t>${servicePartner.bank.IBAN}</t>
  </si>
  <si>
    <t>${servicePartner.bank.GIRO}</t>
  </si>
  <si>
    <t>Service agreement name</t>
  </si>
  <si>
    <t>Location/Shop name</t>
  </si>
  <si>
    <t>Location address 1</t>
  </si>
  <si>
    <t>Location address 2</t>
  </si>
  <si>
    <t>Location postal code</t>
  </si>
  <si>
    <t>Location City</t>
  </si>
  <si>
    <t>Location Phone</t>
  </si>
  <si>
    <t>Task email</t>
  </si>
  <si>
    <t>${location.name}</t>
  </si>
  <si>
    <t>${location.address1}</t>
  </si>
  <si>
    <t>${location.address2}</t>
  </si>
  <si>
    <t>${location.postalCode}</t>
  </si>
  <si>
    <t>${location.city}</t>
  </si>
  <si>
    <t>${location.phone}</t>
  </si>
  <si>
    <t>${claim.policyType}</t>
  </si>
  <si>
    <t>${servicePartner.bank.fikType}</t>
  </si>
  <si>
    <t>${servicePartner.bank.fikCreditorCode}</t>
  </si>
  <si>
    <t>${servicePartner.serviceAgreementName}</t>
  </si>
  <si>
    <t>${taskEmail}</t>
  </si>
  <si>
    <t>Policy type</t>
  </si>
  <si>
    <t>LineID</t>
  </si>
  <si>
    <t>${serviceLine.claimLineId}</t>
  </si>
  <si>
    <t>fname659511 lname335290</t>
  </si>
  <si>
    <t>55198+dk+qa01.scalepoint.com%2FrepairValuation%2Fdk%2Fmailgun%2Fupload.action@sandbox65938.mailgun.org</t>
  </si>
  <si>
    <t>Future-2</t>
  </si>
  <si>
    <t>FirstName LastName</t>
  </si>
  <si>
    <t>8539705</t>
  </si>
  <si>
    <t>26/11/2016</t>
  </si>
  <si>
    <t>66DF94B6-FC1E-4392-B152-B6AD3AF083E0</t>
  </si>
  <si>
    <t>ForRnV949828</t>
  </si>
  <si>
    <t>Personlig Pleje</t>
  </si>
  <si>
    <t>Medicin</t>
  </si>
  <si>
    <t/>
  </si>
  <si>
    <t>Reparation</t>
  </si>
  <si>
    <t>ATSupplier-AutoTest Agreement-52</t>
  </si>
  <si>
    <t>Test address 1</t>
  </si>
  <si>
    <t>Test address 2</t>
  </si>
  <si>
    <t>AB10 123</t>
  </si>
  <si>
    <t>Test city</t>
  </si>
  <si>
    <t>0800 0833113</t>
  </si>
  <si>
    <t>ecc_auto@scalepoint.com</t>
  </si>
  <si>
    <t>123456789</t>
  </si>
  <si>
    <t>AutoTest Agreement For Wizard</t>
  </si>
  <si>
    <t>Test shop Future-2 2</t>
  </si>
  <si>
    <t>Bil, Båd &amp; MC</t>
  </si>
  <si>
    <t>Briller, Linser &amp; Hørelse</t>
  </si>
  <si>
    <t>Børn</t>
  </si>
  <si>
    <t>Computer &amp; Software</t>
  </si>
  <si>
    <t>Cykler &amp; Tilbehør</t>
  </si>
  <si>
    <t>Foto &amp; Video</t>
  </si>
  <si>
    <t>Have &amp; Gør-Det-Selv</t>
  </si>
  <si>
    <t>Hus &amp; Interiør</t>
  </si>
  <si>
    <t>Kontanter, ID og Kort mm.</t>
  </si>
  <si>
    <t>Lyd &amp; Billede</t>
  </si>
  <si>
    <t>Musik, Film &amp; Spil</t>
  </si>
  <si>
    <t>Punge, Tasker &amp; Kufferter</t>
  </si>
  <si>
    <t>Rejseskader</t>
  </si>
  <si>
    <t>Skadeudgifter</t>
  </si>
  <si>
    <t>Smykker, Ure &amp; Tilbehør</t>
  </si>
  <si>
    <t>Sport, Fritid &amp; Hobby</t>
  </si>
  <si>
    <t>Telefoni</t>
  </si>
  <si>
    <t>Tøj &amp; Sko</t>
  </si>
  <si>
    <t>Øvrige</t>
  </si>
  <si>
    <t>Bil Audio</t>
  </si>
  <si>
    <t>D9B21FCA-F266-43FA-A372-C53CAE4FB538</t>
  </si>
  <si>
    <t>Bil Video &amp; Underholdning</t>
  </si>
  <si>
    <t>9C564400-8D1B-4B39-B880-073DD84659E4</t>
  </si>
  <si>
    <t>Biludstyr</t>
  </si>
  <si>
    <t>C68E72F0-780F-4D09-9CB9-D5E7BFE33A44</t>
  </si>
  <si>
    <t>Bådelektronik</t>
  </si>
  <si>
    <t>0591CDF8-BB24-489F-8D02-7284A38304CE</t>
  </si>
  <si>
    <t>Bådudstyr</t>
  </si>
  <si>
    <t>44049820-B8D0-496C-B3D4-8093DA1DDFA8</t>
  </si>
  <si>
    <t>Campingvognsudstyr</t>
  </si>
  <si>
    <t>4D002258-BF30-4095-BCD8-11F55339EE92</t>
  </si>
  <si>
    <t>GPS til Bil &amp; MC</t>
  </si>
  <si>
    <t>0706E152-550D-42EB-82C6-0D6845EC8528</t>
  </si>
  <si>
    <t>GPS til Båd</t>
  </si>
  <si>
    <t>CEABEAF2-212C-4747-9A01-DA700A1EFFE3</t>
  </si>
  <si>
    <t>Lastholder, Skiboks m.m.</t>
  </si>
  <si>
    <t>2DAED115-DA04-40B5-A990-F9372FD36C9E</t>
  </si>
  <si>
    <t>MC-beklædning</t>
  </si>
  <si>
    <t>866E53F5-BCA3-4C38-8A3C-A55E596AAAB6</t>
  </si>
  <si>
    <t>MC-udstyr</t>
  </si>
  <si>
    <t>AB45C368-47AA-46F9-8619-4471FADDD158</t>
  </si>
  <si>
    <t>Plastbåde</t>
  </si>
  <si>
    <t>E7723EDB-94ED-4277-B206-8992B6F33F1D</t>
  </si>
  <si>
    <t>Styrthjelme</t>
  </si>
  <si>
    <t>00B62141-2AEE-4D4B-950A-F712427650A9</t>
  </si>
  <si>
    <t>7A86810E-C4DC-4901-9F89-B27BB8AEAE06</t>
  </si>
  <si>
    <t>Briller</t>
  </si>
  <si>
    <t>67474220-55C8-454E-80BB-BB168ED9593F</t>
  </si>
  <si>
    <t>Høreapparater</t>
  </si>
  <si>
    <t>512BEE67-E994-432E-BFC4-CD57FA920D93</t>
  </si>
  <si>
    <t>Linser</t>
  </si>
  <si>
    <t>E4D767D6-B899-4CCB-A365-5C7FF4B0C681</t>
  </si>
  <si>
    <t>Solbriller</t>
  </si>
  <si>
    <t>ACC6F8DA-F0C4-4CD1-B917-8F9F69956FE7</t>
  </si>
  <si>
    <t>FD7FCD5A-6B10-4C0E-8DED-143B696F179F</t>
  </si>
  <si>
    <t>Babyudstyr</t>
  </si>
  <si>
    <t>A758E0B9-66E5-4229-A5BB-1D86FA1B2AC8</t>
  </si>
  <si>
    <t>Barne &amp; Klapvogne</t>
  </si>
  <si>
    <t>99CD3733-50F8-46E8-A461-C7AB63A4526D</t>
  </si>
  <si>
    <t>Bæreseler &amp; Rygbærestole</t>
  </si>
  <si>
    <t>6EFF1291-25FB-4E84-BD9A-1F4C72A217EB</t>
  </si>
  <si>
    <t>Legetøj</t>
  </si>
  <si>
    <t>9DD7C58E-9C93-4266-9EAC-A4778F9C8AAD</t>
  </si>
  <si>
    <t>Legetøj - Brio/Duplo/Lego/Playmo</t>
  </si>
  <si>
    <t>0EC48A68-FD82-4C38-ADD0-B6095A19D260</t>
  </si>
  <si>
    <t>2642CED0-4328-4558-937C-95C44648CE07</t>
  </si>
  <si>
    <t>Bærbar PC</t>
  </si>
  <si>
    <t>667EF85B-5499-460E-A0DA-C2C35B67F5B8</t>
  </si>
  <si>
    <t>Computertasker</t>
  </si>
  <si>
    <t>BA5856E4-CBAB-4E99-A8A1-DF23D4896573</t>
  </si>
  <si>
    <t>Computertilbehør</t>
  </si>
  <si>
    <t>1203FEEF-6076-4491-8A0C-AC804435F9F8</t>
  </si>
  <si>
    <t>Hardware</t>
  </si>
  <si>
    <t>D5198FBC-0584-4769-8046-EF2D0386CBA8</t>
  </si>
  <si>
    <t>Lagring</t>
  </si>
  <si>
    <t>FD3F1335-C7A7-47A6-860D-F9094B653546</t>
  </si>
  <si>
    <t>Print, Scan, Fax &amp; Kopiering</t>
  </si>
  <si>
    <t>665C25CB-7ED2-4E56-B83D-245910E1D8BD</t>
  </si>
  <si>
    <t>Software</t>
  </si>
  <si>
    <t>2AF110B1-9D68-4171-BDCE-5911B9950338</t>
  </si>
  <si>
    <t>Stationær PC</t>
  </si>
  <si>
    <t>5BBD1377-47D7-497C-B922-0F06E57D9CDA</t>
  </si>
  <si>
    <t>Wearables</t>
  </si>
  <si>
    <t>E4F3C614-B96B-47F2-A177-FACD5DFFB7DE</t>
  </si>
  <si>
    <t>iPad &amp; Tablet PC</t>
  </si>
  <si>
    <t>10A7002E-76AF-4991-82F5-0E4EFB3EEF9A</t>
  </si>
  <si>
    <t>B7AA9D9B-9342-45E5-8E46-EF0898EE6508</t>
  </si>
  <si>
    <t>Cykelhjelme</t>
  </si>
  <si>
    <t>7ECB4CA6-8A24-4EEA-BB25-758022C19EFC</t>
  </si>
  <si>
    <t>Cykeltasker</t>
  </si>
  <si>
    <t>B8CC97F3-625C-4A2B-80E5-B8422D594C24</t>
  </si>
  <si>
    <t>Cykeltilbehør</t>
  </si>
  <si>
    <t>EDACD584-3880-445D-82C8-93E4AA38FFD3</t>
  </si>
  <si>
    <t>Cykler</t>
  </si>
  <si>
    <t>AAF7C182-8506-45B3-B2F3-93BCF7E4332F</t>
  </si>
  <si>
    <t>8B810DE2-E3B5-4F61-9888-D49A8AE6FD16</t>
  </si>
  <si>
    <t>Billeder, Album, Rammer m.m.</t>
  </si>
  <si>
    <t>76A65A5E-04FE-4DCC-846D-D431153FC1B7</t>
  </si>
  <si>
    <t>Foto- &amp; Videotasker</t>
  </si>
  <si>
    <t>BAD731A2-2D68-42C8-B332-8A06DDDC7849</t>
  </si>
  <si>
    <t>Kamera Objektiver</t>
  </si>
  <si>
    <t>0ECC2EB5-7819-4741-A5AC-0E8240EAB544</t>
  </si>
  <si>
    <t>Kameratilbehør</t>
  </si>
  <si>
    <t>E0C6346E-A2F3-411F-A87E-79A3EBE7B779</t>
  </si>
  <si>
    <t>Kompaktkamera</t>
  </si>
  <si>
    <t>57FFE2DB-EEF5-4F32-9A14-4679FB41C02A</t>
  </si>
  <si>
    <t>Memorycard &amp; Batteri</t>
  </si>
  <si>
    <t>840F608E-8765-4922-BAA8-8419E01FD610</t>
  </si>
  <si>
    <t>Spejlrefleks- &amp; Systemkamera</t>
  </si>
  <si>
    <t>C0ABFF13-4C24-4CDD-A9AD-8D527079DB2B</t>
  </si>
  <si>
    <t>Videokamera</t>
  </si>
  <si>
    <t>A2B74DA8-3535-492E-B639-99CDAA3D9A1F</t>
  </si>
  <si>
    <t>Videokameratilbehør</t>
  </si>
  <si>
    <t>3509A9B4-FED2-43EE-BCF1-B912A6426C9D</t>
  </si>
  <si>
    <t>D86A6180-069E-4519-9958-7172CC7E1088</t>
  </si>
  <si>
    <t>Betonblander</t>
  </si>
  <si>
    <t>951C1248-31BF-41DA-93C1-EACDA32F81EF</t>
  </si>
  <si>
    <t>Bygningsdele- &amp; Materialer</t>
  </si>
  <si>
    <t>D90618DA-765A-4D81-BA1E-24B199CF1DE9</t>
  </si>
  <si>
    <t>Donkrafte, Høvlebænk &amp; Hyldesystemer</t>
  </si>
  <si>
    <t>0A0DA5F0-9DEB-4C5B-9C46-A62711BE0CBB</t>
  </si>
  <si>
    <t>Donkrafte, Høvlebænk &amp; Hyldesystemer (erhverv)</t>
  </si>
  <si>
    <t>96F5879B-1EEB-4176-9747-795F3065F999</t>
  </si>
  <si>
    <t>Grill</t>
  </si>
  <si>
    <t>1EF036E8-65F8-4B49-8603-F10FA000A952</t>
  </si>
  <si>
    <t>Havemøbler</t>
  </si>
  <si>
    <t>EE14CD25-D952-460B-859C-1ED2450CFBA6</t>
  </si>
  <si>
    <t>Haveredskaber</t>
  </si>
  <si>
    <t>B4F52550-6EB4-47E8-A7B1-4748BA5C881A</t>
  </si>
  <si>
    <t>Haveredskaber, benzin</t>
  </si>
  <si>
    <t>EE10C16B-38E9-49D0-952B-2F30B2573EBD</t>
  </si>
  <si>
    <t>Haveredskaber, elektriske</t>
  </si>
  <si>
    <t>A84913D9-C7AF-492C-8BF6-587DB915D8F8</t>
  </si>
  <si>
    <t>Plæneklippere</t>
  </si>
  <si>
    <t>40ED3343-8C04-45B9-9EB9-C7694AB7364B</t>
  </si>
  <si>
    <t>Postkasser &amp; tilbehør</t>
  </si>
  <si>
    <t>C33A4FBA-7E30-4F01-B95A-25845570371A</t>
  </si>
  <si>
    <t>Terrassevarmere &amp; Gå-Væk-Myggeting</t>
  </si>
  <si>
    <t>6E9EB55A-F88B-4FD6-94D9-37432CD49103</t>
  </si>
  <si>
    <t>Udendørsbelysning</t>
  </si>
  <si>
    <t>2CE19149-232A-4E32-A5BD-1CE0DB8CC966</t>
  </si>
  <si>
    <t>Værktøj</t>
  </si>
  <si>
    <t>9531D43D-1024-4E2F-8FDC-DC6750F11D75</t>
  </si>
  <si>
    <t>Værktøj (erhverv)</t>
  </si>
  <si>
    <t>D5AD94A8-7539-49E4-A560-792ACD11440F</t>
  </si>
  <si>
    <t>Værktøj, benzin</t>
  </si>
  <si>
    <t>073DCE1D-323B-4D5E-9B04-D968EA281658</t>
  </si>
  <si>
    <t>Værktøj, elektriske</t>
  </si>
  <si>
    <t>2DF755A0-D706-4D2B-B24D-B89B2C1EE8D5</t>
  </si>
  <si>
    <t>Værktøj, elektriske (erhverv)</t>
  </si>
  <si>
    <t>9F1D9D94-A74B-48D6-B9D1-8E6D59728611</t>
  </si>
  <si>
    <t>612B799F-4804-42F5-894B-B0AF3B24B3FF</t>
  </si>
  <si>
    <t>Antikviteter</t>
  </si>
  <si>
    <t>7330EDD3-54EA-423A-89E8-31FC7DC4EDED</t>
  </si>
  <si>
    <t>Badtilbehør</t>
  </si>
  <si>
    <t>2AD9E2D6-DBAB-4402-9053-7E879C267FD4</t>
  </si>
  <si>
    <t>Belysning</t>
  </si>
  <si>
    <t>26796F3B-3BCE-465F-8F79-82926069D430</t>
  </si>
  <si>
    <t>Bestik</t>
  </si>
  <si>
    <t>62035B8F-4949-4617-AD82-E1258BBA453D</t>
  </si>
  <si>
    <t>Designermøbler</t>
  </si>
  <si>
    <t>5735C55C-5817-4D68-83D3-2DBD7DBE32F0</t>
  </si>
  <si>
    <t>Dyner &amp; Sengetøj</t>
  </si>
  <si>
    <t>F19638F4-EFCB-4945-8D26-40E3D0F3BDD9</t>
  </si>
  <si>
    <t>Elektriske apparater, Køkken</t>
  </si>
  <si>
    <t>12C66154-2ED5-46C0-A0F8-7DAB1C44A2A2</t>
  </si>
  <si>
    <t>Gardiner</t>
  </si>
  <si>
    <t>9776ED64-6C31-4D6A-86AA-34E021E3438B</t>
  </si>
  <si>
    <t>Hvidevarer</t>
  </si>
  <si>
    <t>26C0460E-FC8C-49EF-BCF6-FED3091C8788</t>
  </si>
  <si>
    <t>Isenkram</t>
  </si>
  <si>
    <t>66FA6354-885A-43B2-BB25-A4CE812E03EA</t>
  </si>
  <si>
    <t>Kunstværker</t>
  </si>
  <si>
    <t>5505E7C7-99FE-4677-A649-2E4DB390C591</t>
  </si>
  <si>
    <t>Køkkentilbehør</t>
  </si>
  <si>
    <t>1EBB8DFC-09FE-4F7B-AA84-C0C37582F410</t>
  </si>
  <si>
    <t>Louis Poulsen lamper</t>
  </si>
  <si>
    <t>459A6DBA-D84A-457B-962F-B3323CE696BF</t>
  </si>
  <si>
    <t>Mad &amp; drikkevarer</t>
  </si>
  <si>
    <t>055CC808-93D6-4D0A-B308-6AA3A52F0055</t>
  </si>
  <si>
    <t>Madras</t>
  </si>
  <si>
    <t>F3DD113D-CEAD-44D5-9D76-36F8E86D970F</t>
  </si>
  <si>
    <t>Møbler</t>
  </si>
  <si>
    <t>604FE798-0B89-4C6E-A4D2-4806A956F326</t>
  </si>
  <si>
    <t>Porcelæn inkl. Platter</t>
  </si>
  <si>
    <t>A702BB05-83B8-4868-BF53-B47EEC721E24</t>
  </si>
  <si>
    <t>Pyntegenstande</t>
  </si>
  <si>
    <t>96638DF7-0424-4D32-8F22-9F181FD504E7</t>
  </si>
  <si>
    <t>Service &amp; Glas</t>
  </si>
  <si>
    <t>AB43E530-5482-4895-89E2-CB2A4D40A725</t>
  </si>
  <si>
    <t>Service &amp; Glas, fint</t>
  </si>
  <si>
    <t>E66387C6-8E68-413A-95B8-6A5A00D7E1BD</t>
  </si>
  <si>
    <t>Tæpper</t>
  </si>
  <si>
    <t>C7056E79-3F86-4797-8341-2B4ABE9F98AA</t>
  </si>
  <si>
    <t>Ægte Tæpper</t>
  </si>
  <si>
    <t>4C2B62FF-48CF-444B-99BB-AFB00076DBA7</t>
  </si>
  <si>
    <t>684701CD-AD3F-4F0C-BFEA-D0DB4AA93E2D</t>
  </si>
  <si>
    <t>Kontanter</t>
  </si>
  <si>
    <t>261299F5-A04C-419A-82EC-8C66B8A946AD</t>
  </si>
  <si>
    <t>Kørekort, ID m.m.</t>
  </si>
  <si>
    <t>64B5E7A9-F1EE-4F3B-916A-44D278022DB2</t>
  </si>
  <si>
    <t>Pengerepræsentativer</t>
  </si>
  <si>
    <t>EA372E3D-3B07-440B-94B1-379CE1532ECA</t>
  </si>
  <si>
    <t>65347FF4-50FE-41E9-9A90-AB11C471E29A</t>
  </si>
  <si>
    <t>B&amp;O - Bang &amp; Olufsen</t>
  </si>
  <si>
    <t>ED9D5175-EAB5-4FDA-9D10-1EFF2AA46251</t>
  </si>
  <si>
    <t>Bærbare afspillere</t>
  </si>
  <si>
    <t>DD566B97-67AB-4A1E-9626-CFAA2FDD1EE0</t>
  </si>
  <si>
    <t>DVD &amp; Blu-Ray afspiller</t>
  </si>
  <si>
    <t>528DA344-606E-4E25-9256-F3A11C744FD8</t>
  </si>
  <si>
    <t>Digital TV Bokse</t>
  </si>
  <si>
    <t>BC95AA67-8E69-4B41-9564-9165A57F3F2E</t>
  </si>
  <si>
    <t>Hjemmebiograf</t>
  </si>
  <si>
    <t>85F3276F-3CE3-413F-98D0-7DD5183E8BCC</t>
  </si>
  <si>
    <t>Hovedtelefoner</t>
  </si>
  <si>
    <t>BDF206DB-BE5A-4F83-99D1-AD61A3D826F9</t>
  </si>
  <si>
    <t>Højtalere</t>
  </si>
  <si>
    <t>EF912E2F-DEA7-4A49-9691-A2E089BCB6E5</t>
  </si>
  <si>
    <t>Media Center</t>
  </si>
  <si>
    <t>B371F4D8-B42F-448C-A502-EB8165712B5E</t>
  </si>
  <si>
    <t>Parabolanlæg &amp; Antenner/Bord</t>
  </si>
  <si>
    <t>01C9BA29-5A0C-4DE0-B4B9-C8F284539C58</t>
  </si>
  <si>
    <t>Projektor</t>
  </si>
  <si>
    <t>A917470D-3A8A-47A9-9F04-7A789AA77E89</t>
  </si>
  <si>
    <t>Spilkonsoller</t>
  </si>
  <si>
    <t>5767CC1F-C26B-410E-85D6-BFC06C165539</t>
  </si>
  <si>
    <t>Stereoanlæg &amp; Hi-Fi</t>
  </si>
  <si>
    <t>A9486641-F7EE-42EA-9280-4E76C7F4CCE5</t>
  </si>
  <si>
    <t>TV</t>
  </si>
  <si>
    <t>031396C4-2B39-4514-BEE6-A6A73672A9B7</t>
  </si>
  <si>
    <t>Videoafspiller</t>
  </si>
  <si>
    <t>ACE97C0F-0F0A-46AE-AA9F-8D16EF38CC32</t>
  </si>
  <si>
    <t>FF7A3A83-0107-4615-87FF-2D3FD910F19A</t>
  </si>
  <si>
    <t>CD'Er</t>
  </si>
  <si>
    <t>921E6CF3-1CD6-47CF-BC69-99D607F33308</t>
  </si>
  <si>
    <t>DVD &amp; Blu Ray Film</t>
  </si>
  <si>
    <t>80D6B69D-222C-4E7A-9F32-065F4F86A324</t>
  </si>
  <si>
    <t>Film - andre Medier</t>
  </si>
  <si>
    <t>DBFEFB08-1C7A-485B-A4BB-0A8AF3601356</t>
  </si>
  <si>
    <t>Musik - andre Medier</t>
  </si>
  <si>
    <t>410FF9DB-C3F8-4EB9-A6B2-F31253DF7AFB</t>
  </si>
  <si>
    <t>Spil til aktuelle Konsoller &amp; Computere</t>
  </si>
  <si>
    <t>E68BFFA7-72DC-4E11-AB63-D936195D116C</t>
  </si>
  <si>
    <t>Spil til gamle Konsoller</t>
  </si>
  <si>
    <t>8FC58093-57E7-4BC5-AB6E-B63472630D87</t>
  </si>
  <si>
    <t>DE34A214-E52E-4203-83A6-641B654008B3</t>
  </si>
  <si>
    <t>Bad- &amp; Toiletartikler</t>
  </si>
  <si>
    <t>D1F2DFAC-98FD-444D-914F-2FECACD2DB51</t>
  </si>
  <si>
    <t>Elektriske apparater, Bad</t>
  </si>
  <si>
    <t>2E0851AC-574E-4785-8D8A-86045B3240EA</t>
  </si>
  <si>
    <t>Kosmetik &amp; Parfume</t>
  </si>
  <si>
    <t>826D93AC-3A10-44A9-99E8-634E5CC6E92E</t>
  </si>
  <si>
    <t>AEC8A3E2-CB0A-4972-9911-D405BDFDAF7C</t>
  </si>
  <si>
    <t>Skønhed &amp; Helse</t>
  </si>
  <si>
    <t>B43B0AD7-E711-41D6-B2B7-C0BB1387D365</t>
  </si>
  <si>
    <t>F50F876E-3AB9-4F6D-9733-DE1029ACB031</t>
  </si>
  <si>
    <t>Beauty Bag</t>
  </si>
  <si>
    <t>B4C273E4-4CEA-47A6-B289-F87B1CE280A4</t>
  </si>
  <si>
    <t>Designertasker</t>
  </si>
  <si>
    <t>EC2DA374-3C12-43AC-9E23-8606E88CA288</t>
  </si>
  <si>
    <t>Kufferter</t>
  </si>
  <si>
    <t>1F34F69C-78B2-4D04-A6D4-0527521E2E7B</t>
  </si>
  <si>
    <t>Mapper</t>
  </si>
  <si>
    <t>A119CB69-44A8-45AC-85AC-BDBE04303272</t>
  </si>
  <si>
    <t>Punge</t>
  </si>
  <si>
    <t>3DD05BD9-F871-4385-A685-677B2B01C062</t>
  </si>
  <si>
    <t>Rygsække</t>
  </si>
  <si>
    <t>A687A2CB-A911-49B6-A835-B09682ECE409</t>
  </si>
  <si>
    <t>Skoletasker</t>
  </si>
  <si>
    <t>F52F197A-E42C-4C2E-A41B-F5DED971885A</t>
  </si>
  <si>
    <t>Skuldertasker</t>
  </si>
  <si>
    <t>8D7DBAFD-9EC6-47D1-84D6-27D5AA4E7A87</t>
  </si>
  <si>
    <t>Tasker</t>
  </si>
  <si>
    <t>EF081521-41BA-4328-B208-7E02E8CC16CB</t>
  </si>
  <si>
    <t>D608A3C0-4A68-4E0E-A6A1-BC63A8A012C2</t>
  </si>
  <si>
    <t>1E214769-AB81-4A37-9AB2-BE3A8236C5D5</t>
  </si>
  <si>
    <t>Genhusningsgodtgørelse</t>
  </si>
  <si>
    <t>503DCB64-BAD1-4F40-831C-3BCF1FDA787C</t>
  </si>
  <si>
    <t>Kundens eget arbejde</t>
  </si>
  <si>
    <t>097F83D1-60B3-4635-BBB6-4E06DD71A076</t>
  </si>
  <si>
    <t>Levering &amp; Installation</t>
  </si>
  <si>
    <t>2A704E4F-2C41-463E-AF43-EB374C81AA98</t>
  </si>
  <si>
    <t>Nøgler &amp; Omkodning af låse</t>
  </si>
  <si>
    <t>36FE9B31-2FF0-42B2-B3A8-2375B8ECA2FC</t>
  </si>
  <si>
    <t>6DF431FC-D53F-4B43-BE36-22084BDD4398</t>
  </si>
  <si>
    <t>Udgifter i forbindelse med rejser</t>
  </si>
  <si>
    <t>F4DC1481-F04C-44F0-A27C-914D74F1E6B9</t>
  </si>
  <si>
    <t>Veterinærudgifter</t>
  </si>
  <si>
    <t>1C213A9C-4B3C-43C5-9379-E726AC87C171</t>
  </si>
  <si>
    <t>Vurderinger</t>
  </si>
  <si>
    <t>0EC8AD03-4B13-4705-AF2B-40C52DB496C8</t>
  </si>
  <si>
    <t>9F5F71BD-8B14-49DB-B7A2-D6C160657614</t>
  </si>
  <si>
    <t>Gulv- &amp; Vækkeur</t>
  </si>
  <si>
    <t>16C6B42A-C5F9-4D09-AE5C-FC37B88B3DEA</t>
  </si>
  <si>
    <t>Luksusure</t>
  </si>
  <si>
    <t>1C1A4D0A-8ADC-45E4-A699-ABA76F0B6C9C</t>
  </si>
  <si>
    <t>Smykker</t>
  </si>
  <si>
    <t>ACA5EC12-87D2-421B-A7D7-C00B71939046</t>
  </si>
  <si>
    <t>Sølvtøj</t>
  </si>
  <si>
    <t>E333FA15-E186-4759-AEA9-631E27FEA6AF</t>
  </si>
  <si>
    <t>Udenlandske Smykker</t>
  </si>
  <si>
    <t>0C197A8C-3CDD-41C7-B345-44297375996D</t>
  </si>
  <si>
    <t>Ure</t>
  </si>
  <si>
    <t>163AA6A0-3BAB-4150-BC6A-D25E492A1F70</t>
  </si>
  <si>
    <t>AB93D13F-E876-4548-8ED9-774CFD1E9F66</t>
  </si>
  <si>
    <t>Billard- &amp; Fodboldbord m.m.</t>
  </si>
  <si>
    <t>45C7D77F-CFA1-4887-9F24-543F4523979D</t>
  </si>
  <si>
    <t>Bolde</t>
  </si>
  <si>
    <t>C03D13A9-CA9C-4CD5-A999-90655B2B2970</t>
  </si>
  <si>
    <t>Bræt- &amp; Kortspil</t>
  </si>
  <si>
    <t>BCFFE5EF-9860-44B6-A98A-0DC31C499628</t>
  </si>
  <si>
    <t>Campingudstyr &amp; Telt</t>
  </si>
  <si>
    <t>556A68B9-547A-4279-B5E2-E2E158CA0DB0</t>
  </si>
  <si>
    <t>Dykkerudstyr &amp; Dragter</t>
  </si>
  <si>
    <t>194C1194-EFF1-4935-A1ED-6D6605563588</t>
  </si>
  <si>
    <t>Fiskeudstyr</t>
  </si>
  <si>
    <t>919FDED6-042A-42CD-BD4A-0846852CF00F</t>
  </si>
  <si>
    <t>Fitness &amp; Vægte</t>
  </si>
  <si>
    <t>E4D4EE01-59A6-4D4F-BC94-7376597D08C5</t>
  </si>
  <si>
    <t>Frimærker &amp; Mønter</t>
  </si>
  <si>
    <t>C264ABB0-FEE3-4A13-B957-3EB83BCCA51E</t>
  </si>
  <si>
    <t>Golfudstyr</t>
  </si>
  <si>
    <t>81FF825B-6507-4EB3-96C4-7A154ACD5B2B</t>
  </si>
  <si>
    <t>Hjelme &amp; Sikkerhedstilbehør</t>
  </si>
  <si>
    <t>7835AEC8-81C2-4DD3-A99A-C2C8EB889935</t>
  </si>
  <si>
    <t>Indbundne bøger &amp; opslagsværker</t>
  </si>
  <si>
    <t>279BDBDA-3585-402B-B402-86A7F0E48B29</t>
  </si>
  <si>
    <t>Jagt &amp; våben</t>
  </si>
  <si>
    <t>EE2F401A-2D9B-48BD-9CFC-BF1E5B90AAB4</t>
  </si>
  <si>
    <t>Kano, Kajak &amp; Surfbræt</t>
  </si>
  <si>
    <t>C07C9A30-2A06-4BA9-A57E-9EE9F5315406</t>
  </si>
  <si>
    <t>Ketsjersport &amp; Tilbehør</t>
  </si>
  <si>
    <t>5A33DCB1-C374-4586-A637-448758581973</t>
  </si>
  <si>
    <t>Kikkerter</t>
  </si>
  <si>
    <t>3675B76A-F570-4392-87C9-E5E782CF9DF2</t>
  </si>
  <si>
    <t>Kælke &amp; Slæder</t>
  </si>
  <si>
    <t>8591483F-9E09-4B54-822E-2407C800FF85</t>
  </si>
  <si>
    <t>Løbe-GPS, Skridttæller m.m.</t>
  </si>
  <si>
    <t>3A9F1959-B3B5-4044-B8FA-5E1C1F291554</t>
  </si>
  <si>
    <t>Musikinstrumenter, akustisk</t>
  </si>
  <si>
    <t>D4ABC54E-AFD3-4D6A-977A-7B15B96CB5AE</t>
  </si>
  <si>
    <t>Musikinstrumenter, elektriske</t>
  </si>
  <si>
    <t>00DCCCC2-98F9-4DED-95E4-A1E6BE3BE330</t>
  </si>
  <si>
    <t>Piano &amp; Klaver</t>
  </si>
  <si>
    <t>27B703A6-C18A-41AC-9B58-A5D57915ABD0</t>
  </si>
  <si>
    <t>Radioamatørudstyr</t>
  </si>
  <si>
    <t>2DD297B9-34CD-4E7E-A92A-F67B22DC9529</t>
  </si>
  <si>
    <t>Redningsvest, Flydejakke m.m.</t>
  </si>
  <si>
    <t>82EEA1FD-F934-4B30-9F53-B1EB8A9911F1</t>
  </si>
  <si>
    <t>Rideudstyr</t>
  </si>
  <si>
    <t>8CC85E0C-558A-4035-BF03-06A79E1E4AEC</t>
  </si>
  <si>
    <t>Rulleski &amp; -Skøjter &amp; Skateboard</t>
  </si>
  <si>
    <t>DD42B78E-DD6C-413F-BBBE-38A5659B6C92</t>
  </si>
  <si>
    <t>Ski, Snowboard, Stave, Støvler &amp; Skøjter</t>
  </si>
  <si>
    <t>752BAC7C-E1F9-413A-81EE-7E411191577B</t>
  </si>
  <si>
    <t>Skole-, Pocketbøger &amp; Kort</t>
  </si>
  <si>
    <t>160E8123-A266-40D6-A519-9B71161BDBAA</t>
  </si>
  <si>
    <t>Sportstøj &amp; Sko</t>
  </si>
  <si>
    <t>B355303D-AEAC-4A07-9DBA-401FCE1EB5BF</t>
  </si>
  <si>
    <t>Tidsskrifter &amp; Tegneserier</t>
  </si>
  <si>
    <t>0B687F02-33B5-44DA-9199-B13F6421DFF1</t>
  </si>
  <si>
    <t>Trampolin</t>
  </si>
  <si>
    <t>023C5F83-0315-49D5-AAE6-E8115A0701F0</t>
  </si>
  <si>
    <t>Udstyr til Hus- &amp; Kæledyr</t>
  </si>
  <si>
    <t>6BF25465-7190-4F8E-AFD8-DCADB05C600D</t>
  </si>
  <si>
    <t>Vandski &amp; Vandsport</t>
  </si>
  <si>
    <t>8CCE361F-CA49-4DF2-9771-73A6487D0110</t>
  </si>
  <si>
    <t>2A516D7B-2BF6-4FD2-8F35-65533B2F4035</t>
  </si>
  <si>
    <t>Mobiltelefoner</t>
  </si>
  <si>
    <t>09F7146D-26B6-4F6D-AE3C-2118F833B4FD</t>
  </si>
  <si>
    <t>Mobiltelefontilbehør</t>
  </si>
  <si>
    <t>B5899C0F-88B5-4F1A-A4B5-68BB1844BD0C</t>
  </si>
  <si>
    <t>Telefoner (Fast, Trådløs &amp; IP)</t>
  </si>
  <si>
    <t>34393891-07FE-475E-B5DC-83161F52072E</t>
  </si>
  <si>
    <t>D04C7A2A-F755-4F99-8286-E8AE216EEDDD</t>
  </si>
  <si>
    <t>FEAD8288-5A9C-4001-9A1A-50920F0E3404</t>
  </si>
  <si>
    <t>Dame</t>
  </si>
  <si>
    <t>DCA87903-775A-43E5-96A4-D0A8FD15E7E3</t>
  </si>
  <si>
    <t>Dame, Kjoler &amp; Overtøj</t>
  </si>
  <si>
    <t>068F26E1-1341-406D-92F2-06FF4E990A10</t>
  </si>
  <si>
    <t>Herre</t>
  </si>
  <si>
    <t>EA2B1621-97E1-47AC-B21F-0BBCCBCCF4E1</t>
  </si>
  <si>
    <t>Herre, Jakkesæt &amp; Overtøj</t>
  </si>
  <si>
    <t>752D2D1F-208C-4D83-BC4B-440C07137362</t>
  </si>
  <si>
    <t>Pelse &amp; Pelsværk</t>
  </si>
  <si>
    <t>C7648281-7E1C-4542-BD3E-4D844699A22D</t>
  </si>
  <si>
    <t>Skind &amp; Skindtøj</t>
  </si>
  <si>
    <t>573ACE52-CFE1-4475-8ED6-3A5895DB9B89</t>
  </si>
  <si>
    <t>Sko</t>
  </si>
  <si>
    <t>E4F7FEF7-3EC6-4CBB-9A75-383F8FC19918</t>
  </si>
  <si>
    <t>F72D68B6-46CE-4712-A6F3-8F0292A2ACC5</t>
  </si>
  <si>
    <t>583DF5C8-CE43-4420-8158-1E33C6D4F5D6</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</si>
</sst>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6"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b/>
      <sz val="11"/>
      <color rgb="FF000000"/>
      <name val="Calibri"/>
      <family val="2"/>
      <charset val="204"/>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77">
    <xf numFmtId="0" fontId="0" fillId="0" borderId="0" xfId="0"/>
    <xf numFmtId="49" fontId="0" fillId="0" borderId="0" xfId="0" applyNumberFormat="1" applyProtection="1">
      <protection locked="0"/>
    </xf>
    <xf numFmtId="49" fontId="0" fillId="0" borderId="1" xfId="0" applyNumberFormat="1" applyBorder="1" applyProtection="1">
      <protection locked="0"/>
    </xf>
    <xf numFmtId="49" fontId="0" fillId="0" borderId="1" xfId="0" applyNumberFormat="1" applyBorder="1" applyProtection="1"/>
    <xf numFmtId="49" fontId="0" fillId="0" borderId="0" xfId="0" applyNumberFormat="1" applyProtection="1"/>
    <xf numFmtId="49" fontId="1" fillId="0" borderId="0" xfId="0" applyNumberFormat="1" applyFont="1" applyProtection="1"/>
    <xf numFmtId="49" fontId="1" fillId="0" borderId="1" xfId="0" applyNumberFormat="1" applyFont="1" applyBorder="1" applyProtection="1"/>
    <xf numFmtId="1" fontId="0" fillId="0" borderId="1" xfId="0" applyNumberFormat="1" applyBorder="1" applyProtection="1">
      <protection locked="0"/>
    </xf>
    <xf numFmtId="1" fontId="0" fillId="0" borderId="0" xfId="0" applyNumberFormat="1" applyProtection="1">
      <protection locked="0"/>
    </xf>
    <xf numFmtId="2" fontId="0" fillId="0" borderId="1" xfId="0" applyNumberFormat="1" applyBorder="1" applyProtection="1">
      <protection locked="0"/>
    </xf>
    <xf numFmtId="2" fontId="0" fillId="0" borderId="0" xfId="0" applyNumberFormat="1" applyProtection="1">
      <protection locked="0"/>
    </xf>
    <xf numFmtId="49" fontId="3" fillId="0" borderId="0" xfId="2" applyNumberFormat="1" applyProtection="1"/>
    <xf numFmtId="0" fontId="0" fillId="2" borderId="0" xfId="0" applyFill="1"/>
    <xf numFmtId="0" fontId="0" fillId="3" borderId="0" xfId="0" applyFill="1"/>
    <xf numFmtId="0" fontId="0" fillId="3" borderId="0" xfId="0" applyFill="1" applyAlignment="1">
      <alignment horizontal="right"/>
    </xf>
    <xf numFmtId="49" fontId="0" fillId="4" borderId="6" xfId="0" applyNumberFormat="1" applyFill="1" applyBorder="1" applyAlignment="1">
      <alignment horizontal="left" vertical="top"/>
    </xf>
    <xf numFmtId="49" fontId="1" fillId="5" borderId="7" xfId="0" applyNumberFormat="1" applyFont="1" applyFill="1" applyBorder="1" applyAlignment="1">
      <alignment vertical="top"/>
    </xf>
    <xf numFmtId="49" fontId="0" fillId="4" borderId="0" xfId="0" applyNumberFormat="1" applyFill="1" applyAlignment="1" applyProtection="1">
      <alignment horizontal="center" vertical="top"/>
      <protection locked="0"/>
    </xf>
    <xf numFmtId="0" fontId="0" fillId="4" borderId="0" xfId="0" applyNumberFormat="1" applyFill="1" applyAlignment="1" applyProtection="1">
      <alignment horizontal="center" vertical="top"/>
      <protection locked="0"/>
    </xf>
    <xf numFmtId="0" fontId="0" fillId="4" borderId="0" xfId="0" applyNumberFormat="1" applyFill="1" applyAlignment="1" applyProtection="1">
      <alignment vertical="top"/>
      <protection locked="0"/>
    </xf>
    <xf numFmtId="0" fontId="0" fillId="4" borderId="0" xfId="0" applyNumberFormat="1" applyFill="1" applyAlignment="1" applyProtection="1">
      <alignment vertical="top"/>
    </xf>
    <xf numFmtId="0"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vertical="top"/>
    </xf>
    <xf numFmtId="0" fontId="0" fillId="4" borderId="6" xfId="0" applyNumberFormat="1" applyFill="1" applyBorder="1" applyAlignment="1" applyProtection="1">
      <alignment vertical="top"/>
      <protection locked="0"/>
    </xf>
    <xf numFmtId="0" fontId="0" fillId="4" borderId="12" xfId="0" applyNumberFormat="1" applyFill="1" applyBorder="1" applyAlignment="1" applyProtection="1">
      <alignment vertical="top"/>
    </xf>
    <xf numFmtId="49" fontId="0" fillId="4" borderId="2" xfId="0" applyNumberFormat="1" applyFill="1" applyBorder="1" applyAlignment="1">
      <alignment horizontal="left" vertical="top"/>
    </xf>
    <xf numFmtId="49" fontId="0" fillId="5" borderId="3" xfId="0" applyNumberFormat="1" applyFill="1" applyBorder="1" applyAlignment="1">
      <alignment vertical="top"/>
    </xf>
    <xf numFmtId="0" fontId="0" fillId="4" borderId="2" xfId="0" applyNumberFormat="1" applyFill="1" applyBorder="1" applyAlignment="1" applyProtection="1">
      <alignment vertical="top"/>
      <protection locked="0"/>
    </xf>
    <xf numFmtId="49" fontId="0" fillId="4" borderId="2" xfId="0" applyNumberFormat="1" applyFont="1" applyFill="1" applyBorder="1" applyAlignment="1">
      <alignment horizontal="left" vertical="top"/>
    </xf>
    <xf numFmtId="49" fontId="0" fillId="5" borderId="3" xfId="0" applyNumberFormat="1" applyFont="1" applyFill="1" applyBorder="1" applyAlignment="1">
      <alignment vertical="top"/>
    </xf>
    <xf numFmtId="0" fontId="0" fillId="4" borderId="10" xfId="0" applyNumberFormat="1" applyFill="1" applyBorder="1" applyAlignment="1" applyProtection="1">
      <alignment vertical="top"/>
      <protection locked="0"/>
    </xf>
    <xf numFmtId="0" fontId="0" fillId="4" borderId="5" xfId="0" applyNumberFormat="1" applyFill="1" applyBorder="1" applyAlignment="1" applyProtection="1">
      <alignment vertical="top"/>
    </xf>
    <xf numFmtId="49" fontId="0" fillId="4" borderId="8" xfId="0" applyNumberFormat="1" applyFont="1" applyFill="1" applyBorder="1" applyAlignment="1">
      <alignment horizontal="left" vertical="top"/>
    </xf>
    <xf numFmtId="49" fontId="0" fillId="5" borderId="9" xfId="0" applyNumberFormat="1" applyFont="1" applyFill="1" applyBorder="1" applyAlignment="1">
      <alignment vertical="top"/>
    </xf>
    <xf numFmtId="49" fontId="4" fillId="5" borderId="3" xfId="0" applyNumberFormat="1" applyFont="1" applyFill="1" applyBorder="1" applyAlignment="1">
      <alignment horizontal="left" vertical="top"/>
    </xf>
    <xf numFmtId="49" fontId="0" fillId="4" borderId="6" xfId="0" applyNumberFormat="1" applyFont="1" applyFill="1" applyBorder="1" applyAlignment="1">
      <alignment horizontal="left" vertical="top"/>
    </xf>
    <xf numFmtId="49" fontId="0" fillId="5" borderId="3" xfId="0" applyNumberFormat="1" applyFont="1" applyFill="1" applyBorder="1" applyAlignment="1">
      <alignment horizontal="left" vertical="top"/>
    </xf>
    <xf numFmtId="49" fontId="0" fillId="4" borderId="10" xfId="0" applyNumberFormat="1" applyFont="1" applyFill="1" applyBorder="1" applyAlignment="1">
      <alignment horizontal="left" vertical="top"/>
    </xf>
    <xf numFmtId="49" fontId="4" fillId="5" borderId="11" xfId="0" applyNumberFormat="1" applyFont="1" applyFill="1" applyBorder="1" applyAlignment="1">
      <alignment horizontal="left" vertical="top"/>
    </xf>
    <xf numFmtId="0" fontId="1" fillId="4" borderId="1" xfId="0" applyNumberFormat="1" applyFont="1" applyFill="1" applyBorder="1" applyAlignment="1" applyProtection="1">
      <alignment vertical="top"/>
      <protection locked="0"/>
    </xf>
    <xf numFmtId="0" fontId="1" fillId="4" borderId="1" xfId="0" applyNumberFormat="1" applyFont="1" applyFill="1" applyBorder="1" applyAlignment="1" applyProtection="1">
      <alignment horizontal="center" vertical="top"/>
      <protection locked="0"/>
    </xf>
    <xf numFmtId="0" fontId="1" fillId="3" borderId="1" xfId="0" applyNumberFormat="1" applyFont="1" applyFill="1" applyBorder="1" applyAlignment="1" applyProtection="1">
      <alignment horizontal="center" vertical="top"/>
      <protection locked="0"/>
    </xf>
    <xf numFmtId="0" fontId="0" fillId="4" borderId="1" xfId="0" applyNumberFormat="1" applyFill="1" applyBorder="1" applyAlignment="1" applyProtection="1">
      <alignment vertical="top"/>
      <protection locked="0"/>
    </xf>
    <xf numFmtId="0" fontId="0" fillId="4" borderId="1" xfId="0" applyNumberFormat="1" applyFill="1" applyBorder="1" applyAlignment="1" applyProtection="1">
      <alignment horizontal="center" vertical="top"/>
      <protection locked="0"/>
    </xf>
    <xf numFmtId="49" fontId="0" fillId="4" borderId="1" xfId="0" applyNumberFormat="1" applyFill="1" applyBorder="1" applyAlignment="1" applyProtection="1">
      <alignment horizontal="center" vertical="top"/>
      <protection locked="0"/>
    </xf>
    <xf numFmtId="0" fontId="0" fillId="4" borderId="1" xfId="0" applyNumberFormat="1" applyFill="1" applyBorder="1" applyAlignment="1" applyProtection="1">
      <alignment horizontal="right" vertical="top"/>
      <protection locked="0"/>
    </xf>
    <xf numFmtId="10" fontId="0" fillId="4" borderId="1" xfId="1" applyNumberFormat="1" applyFont="1" applyFill="1" applyBorder="1" applyAlignment="1" applyProtection="1">
      <alignment horizontal="right" vertical="top"/>
      <protection locked="0"/>
    </xf>
    <xf numFmtId="49"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horizontal="center" vertical="top"/>
      <protection locked="0"/>
    </xf>
    <xf numFmtId="49" fontId="0" fillId="4" borderId="0" xfId="0" applyNumberFormat="1" applyFill="1" applyBorder="1" applyAlignment="1" applyProtection="1">
      <alignment horizontal="center" vertical="top"/>
      <protection locked="0"/>
    </xf>
    <xf numFmtId="0" fontId="0" fillId="4" borderId="0" xfId="0" applyNumberFormat="1" applyFont="1" applyFill="1" applyBorder="1" applyAlignment="1" applyProtection="1">
      <alignment horizontal="right" vertical="top"/>
    </xf>
    <xf numFmtId="0" fontId="0" fillId="4" borderId="4" xfId="0" applyNumberFormat="1" applyFill="1" applyBorder="1" applyAlignment="1" applyProtection="1">
      <alignment vertical="top"/>
      <protection locked="0"/>
    </xf>
    <xf numFmtId="0" fontId="1" fillId="4" borderId="4" xfId="0" applyNumberFormat="1" applyFont="1" applyFill="1" applyBorder="1" applyAlignment="1" applyProtection="1">
      <alignment horizontal="right" vertical="top"/>
    </xf>
    <xf numFmtId="49" fontId="0" fillId="4" borderId="0" xfId="0" applyNumberFormat="1" applyFill="1" applyAlignment="1" applyProtection="1">
      <alignment vertical="top"/>
      <protection locked="0"/>
    </xf>
    <xf numFmtId="2" fontId="0" fillId="4" borderId="1" xfId="0" applyNumberFormat="1" applyFill="1" applyBorder="1" applyAlignment="1" applyProtection="1">
      <alignment horizontal="right" vertical="top"/>
      <protection locked="0"/>
    </xf>
    <xf numFmtId="2" fontId="0" fillId="4" borderId="0" xfId="0" applyNumberFormat="1" applyFill="1" applyBorder="1" applyAlignment="1" applyProtection="1">
      <alignment horizontal="right" vertical="top"/>
      <protection locked="0"/>
    </xf>
    <xf numFmtId="2" fontId="1" fillId="4" borderId="4" xfId="0" applyNumberFormat="1" applyFont="1" applyFill="1" applyBorder="1" applyAlignment="1" applyProtection="1">
      <alignment horizontal="right" vertical="top"/>
      <protection locked="0"/>
    </xf>
    <xf numFmtId="2" fontId="0" fillId="3" borderId="1" xfId="0" applyNumberFormat="1" applyFill="1" applyBorder="1" applyAlignment="1" applyProtection="1">
      <alignment horizontal="right" vertical="top" indent="1"/>
      <protection locked="0"/>
    </xf>
    <xf numFmtId="49" fontId="0" fillId="4" borderId="0" xfId="0" applyNumberFormat="1" applyFill="1" applyBorder="1" applyAlignment="1">
      <alignment horizontal="left" vertical="top"/>
    </xf>
    <xf numFmtId="49" fontId="0" fillId="4" borderId="0" xfId="0" applyNumberFormat="1" applyFont="1" applyFill="1" applyBorder="1" applyAlignment="1">
      <alignment vertical="top"/>
    </xf>
    <xf numFmtId="49" fontId="0" fillId="5" borderId="12" xfId="0" applyNumberFormat="1" applyFont="1" applyFill="1" applyBorder="1" applyAlignment="1">
      <alignment horizontal="right" vertical="top"/>
    </xf>
    <xf numFmtId="49" fontId="0" fillId="5" borderId="7" xfId="0" applyNumberFormat="1" applyFont="1" applyFill="1" applyBorder="1" applyAlignment="1">
      <alignment horizontal="right" vertical="top"/>
    </xf>
    <xf numFmtId="49" fontId="0" fillId="5" borderId="0" xfId="0" applyNumberFormat="1" applyFont="1" applyFill="1" applyBorder="1" applyAlignment="1">
      <alignment horizontal="right" vertical="top"/>
    </xf>
    <xf numFmtId="49" fontId="0" fillId="5" borderId="3" xfId="0" applyNumberFormat="1" applyFont="1" applyFill="1" applyBorder="1" applyAlignment="1">
      <alignment horizontal="right" vertical="top"/>
    </xf>
    <xf numFmtId="49" fontId="0" fillId="5" borderId="5" xfId="0" applyNumberFormat="1" applyFont="1" applyFill="1" applyBorder="1" applyAlignment="1">
      <alignment horizontal="right" vertical="top"/>
    </xf>
    <xf numFmtId="49" fontId="0" fillId="5" borderId="11" xfId="0" applyNumberFormat="1" applyFont="1" applyFill="1" applyBorder="1" applyAlignment="1">
      <alignment horizontal="right" vertical="top"/>
    </xf>
    <xf numFmtId="49" fontId="0" fillId="5" borderId="12" xfId="0" applyNumberFormat="1" applyFill="1" applyBorder="1" applyAlignment="1" applyProtection="1">
      <alignment horizontal="right" vertical="top"/>
      <protection locked="0"/>
    </xf>
    <xf numFmtId="49" fontId="0" fillId="5" borderId="7" xfId="0" applyNumberFormat="1" applyFill="1" applyBorder="1" applyAlignment="1" applyProtection="1">
      <alignment horizontal="right" vertical="top"/>
      <protection locked="0"/>
    </xf>
    <xf numFmtId="49" fontId="0" fillId="5" borderId="0" xfId="0" applyNumberFormat="1" applyFill="1" applyBorder="1" applyAlignment="1" applyProtection="1">
      <alignment horizontal="right" vertical="top"/>
      <protection locked="0"/>
    </xf>
    <xf numFmtId="49" fontId="0" fillId="5" borderId="3" xfId="0" applyNumberFormat="1" applyFill="1" applyBorder="1" applyAlignment="1" applyProtection="1">
      <alignment horizontal="right" vertical="top"/>
      <protection locked="0"/>
    </xf>
    <xf numFmtId="14" fontId="0" fillId="5" borderId="0" xfId="0" applyNumberFormat="1" applyFill="1" applyBorder="1" applyAlignment="1" applyProtection="1">
      <alignment horizontal="right" vertical="top"/>
      <protection locked="0"/>
    </xf>
    <xf numFmtId="14" fontId="0" fillId="5" borderId="3" xfId="0" applyNumberFormat="1" applyFill="1" applyBorder="1" applyAlignment="1" applyProtection="1">
      <alignment horizontal="right" vertical="top"/>
      <protection locked="0"/>
    </xf>
    <xf numFmtId="14" fontId="0" fillId="5" borderId="5" xfId="0" applyNumberFormat="1" applyFill="1" applyBorder="1" applyAlignment="1" applyProtection="1">
      <alignment horizontal="right" vertical="top"/>
      <protection locked="0"/>
    </xf>
    <xf numFmtId="14" fontId="0" fillId="5" borderId="11" xfId="0" applyNumberFormat="1" applyFill="1" applyBorder="1" applyAlignment="1" applyProtection="1">
      <alignment horizontal="right" vertical="top"/>
      <protection locked="0"/>
    </xf>
    <xf numFmtId="49" fontId="0" fillId="4" borderId="1" xfId="0" applyNumberFormat="1" applyFill="1" applyBorder="1" applyAlignment="1" applyProtection="1">
      <alignment vertical="top"/>
      <protection locked="0"/>
    </xf>
    <xf numFmtId="0" fontId="1" fillId="3" borderId="1" xfId="0" applyNumberFormat="1" applyFont="1" applyFill="1" applyBorder="1" applyAlignment="1" applyProtection="1">
      <alignment horizontal="center" vertical="top"/>
      <protection locked="0"/>
    </xf>
    <xf numFmtId="0" fontId="1" fillId="4" borderId="1" xfId="0" applyNumberFormat="1" applyFont="1" applyFill="1" applyBorder="1" applyAlignment="1" applyProtection="1">
      <alignment vertical="top"/>
      <protection locked="0"/>
    </xf>
  </cellXfs>
  <cellStyles count="3">
    <cellStyle name="Hyperlink" xfId="2" builtinId="8"/>
    <cellStyle name="Normal" xfId="0" builtinId="0"/>
    <cellStyle name="Percent" xfId="1" builtinId="5"/>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right/>
        <top/>
        <bottom/>
      </border>
    </dxf>
    <dxf>
      <fill>
        <patternFill>
          <bgColor rgb="FFFF0000"/>
        </patternFill>
      </fill>
      <border>
        <left/>
        <right/>
        <top/>
        <bottom/>
      </border>
    </dxf>
    <dxf>
      <fill>
        <patternFill>
          <bgColor rgb="FFFF0000"/>
        </patternFill>
      </fill>
      <border>
        <left/>
        <right/>
        <top style="thin">
          <color auto="1"/>
        </top>
        <bottom/>
      </border>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 Id="rId8" Type="http://schemas.microsoft.com/office/2006/relationships/vbaProject" Target="vbaProject.bin"/>
  <Relationship Id="rId9" Type="http://schemas.openxmlformats.org/officeDocument/2006/relationships/worksheet" Target="worksheets/sheet4.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180975</xdr:rowOff>
        </xdr:from>
        <xdr:to>
          <xdr:col>4</xdr:col>
          <xdr:colOff>1809750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Calibri"/>
                </a:rPr>
                <a:t>Send Report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84667</xdr:colOff>
      <xdr:row>2</xdr:row>
      <xdr:rowOff>153460</xdr:rowOff>
    </xdr:from>
    <xdr:to>
      <xdr:col>11</xdr:col>
      <xdr:colOff>460375</xdr:colOff>
      <xdr:row>4</xdr:row>
      <xdr:rowOff>95254</xdr:rowOff>
    </xdr:to>
    <xdr:sp macro="" textlink="">
      <xdr:nvSpPr>
        <xdr:cNvPr id="2" name="Down Arrow 1"/>
        <xdr:cNvSpPr/>
      </xdr:nvSpPr>
      <xdr:spPr>
        <a:xfrm rot="5400000">
          <a:off x="9117541" y="317503"/>
          <a:ext cx="322794" cy="375708"/>
        </a:xfrm>
        <a:prstGeom prst="down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587376</xdr:colOff>
      <xdr:row>1</xdr:row>
      <xdr:rowOff>179916</xdr:rowOff>
    </xdr:from>
    <xdr:to>
      <xdr:col>15</xdr:col>
      <xdr:colOff>269876</xdr:colOff>
      <xdr:row>9</xdr:row>
      <xdr:rowOff>137584</xdr:rowOff>
    </xdr:to>
    <xdr:sp macro="" textlink="">
      <xdr:nvSpPr>
        <xdr:cNvPr id="3" name="TextBox 2"/>
        <xdr:cNvSpPr txBox="1"/>
      </xdr:nvSpPr>
      <xdr:spPr>
        <a:xfrm>
          <a:off x="9593793" y="179916"/>
          <a:ext cx="2423583" cy="1481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a:t>Please</a:t>
          </a:r>
          <a:r>
            <a:rPr lang="da-DK" sz="1100" baseline="0"/>
            <a:t> note that "Invoice Number" must not be filled out before the invoice is final and ready to be send to the insurance company. Thus, if you return the template partially filled, DO NOT fill out "Invoice Number" before the template is completed and ready to be returned.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s>

</file>

<file path=xl/worksheets/_rels/sheet2.xml.rels><?xml version="1.0" encoding="UTF-8"?>

<Relationships xmlns="http://schemas.openxmlformats.org/package/2006/relationships">
  <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6"/>
  <sheetViews>
    <sheetView tabSelected="1" workbookViewId="0">
      <selection activeCell="C30" sqref="C30"/>
    </sheetView>
  </sheetViews>
  <sheetFormatPr defaultRowHeight="15" x14ac:dyDescent="0.25"/>
  <cols>
    <col min="1" max="1" customWidth="true" style="1" width="14.0" collapsed="true"/>
    <col min="2" max="2" customWidth="true" style="1" width="39.7109375" collapsed="true"/>
    <col min="3" max="3" bestFit="true" customWidth="true" style="1" width="31.5703125" collapsed="true"/>
    <col min="4" max="4" bestFit="true" customWidth="true" style="1" width="24.42578125" collapsed="true"/>
    <col min="5" max="5" bestFit="true" customWidth="true" style="1" width="27.42578125" collapsed="true"/>
    <col min="6" max="6" bestFit="true" customWidth="true" style="1" width="31.0" collapsed="true"/>
    <col min="7" max="7" customWidth="true" style="8" width="22.140625" collapsed="true"/>
    <col min="8" max="8" bestFit="true" customWidth="true" style="8" width="24.28515625" collapsed="true"/>
    <col min="9" max="9" bestFit="true" customWidth="true" style="8" width="22.28515625" collapsed="true"/>
    <col min="10" max="10" bestFit="true" customWidth="true" style="8" width="27.0" collapsed="true"/>
    <col min="11" max="11" bestFit="true" customWidth="true" style="10" width="22.7109375" collapsed="true"/>
    <col min="12" max="12" bestFit="true" customWidth="true" style="10" width="30.42578125" collapsed="true"/>
    <col min="13" max="13" bestFit="true" customWidth="true" style="10" width="35.0" collapsed="true"/>
    <col min="14" max="14" bestFit="true" customWidth="true" style="10" width="23.140625" collapsed="true"/>
    <col min="15" max="15" bestFit="true" customWidth="true" style="10" width="25.85546875" collapsed="true"/>
    <col min="16" max="16" bestFit="true" customWidth="true" style="10" width="23.5703125" collapsed="true"/>
    <col min="17" max="17" bestFit="true" customWidth="true" style="10" width="37.0" collapsed="true"/>
    <col min="18" max="18" bestFit="true" customWidth="true" style="1" width="27.5703125" collapsed="true"/>
    <col min="19" max="19" bestFit="true" customWidth="true" style="10" width="24.140625" collapsed="true"/>
    <col min="20" max="20" bestFit="true" customWidth="true" style="10" width="39.42578125" collapsed="true"/>
    <col min="21" max="21" bestFit="true" customWidth="true" style="1" width="22.28515625" collapsed="true"/>
    <col min="22" max="22" bestFit="true" customWidth="true" style="1" width="19.28515625" collapsed="true"/>
    <col min="23" max="23" customWidth="true" style="1" width="25.85546875" collapsed="true"/>
    <col min="24" max="16384" style="1" width="9.140625" collapsed="true"/>
  </cols>
  <sheetData>
    <row r="1" spans="2:5" s="4" customFormat="1" x14ac:dyDescent="0.25"/>
    <row r="2" spans="2:5" s="4" customFormat="1" x14ac:dyDescent="0.25">
      <c r="B2" s="5" t="s">
        <v>16</v>
      </c>
    </row>
    <row r="3" spans="2:5" s="4" customFormat="1" x14ac:dyDescent="0.25">
      <c r="B3" s="3" t="s">
        <v>17</v>
      </c>
      <c r="C3" s="3" t="s">
        <v>159</v>
      </c>
    </row>
    <row r="4" spans="2:5" s="4" customFormat="1" x14ac:dyDescent="0.25">
      <c r="B4" s="3" t="s">
        <v>20</v>
      </c>
      <c r="C4" s="3"/>
    </row>
    <row r="5" spans="2:5" s="4" customFormat="1" x14ac:dyDescent="0.25">
      <c r="B5" s="3" t="s">
        <v>22</v>
      </c>
      <c r="C5" s="3"/>
      <c r="E5" s="4" t="s">
        <v>127</v>
      </c>
    </row>
    <row r="6" spans="2:5" s="4" customFormat="1" x14ac:dyDescent="0.25">
      <c r="B6" s="3" t="s">
        <v>24</v>
      </c>
      <c r="C6" s="3"/>
      <c r="E6" s="4" t="s">
        <v>128</v>
      </c>
    </row>
    <row r="7" spans="2:5" s="4" customFormat="1" x14ac:dyDescent="0.25">
      <c r="B7" s="3" t="s">
        <v>26</v>
      </c>
      <c r="C7" s="3"/>
    </row>
    <row r="8" spans="2:5" s="4" customFormat="1" x14ac:dyDescent="0.25">
      <c r="B8" s="3" t="s">
        <v>28</v>
      </c>
      <c r="C8" s="3"/>
      <c r="E8" s="4" t="s">
        <v>160</v>
      </c>
    </row>
    <row r="9" spans="2:5" s="4" customFormat="1" x14ac:dyDescent="0.25">
      <c r="B9" s="3" t="s">
        <v>30</v>
      </c>
      <c r="C9" s="3"/>
    </row>
    <row r="10" spans="2:5" s="4" customFormat="1" x14ac:dyDescent="0.25">
      <c r="B10" s="3" t="s">
        <v>32</v>
      </c>
      <c r="C10" s="3"/>
    </row>
    <row r="11" spans="2:5" s="4" customFormat="1" x14ac:dyDescent="0.25"/>
    <row r="12" spans="2:5" s="4" customFormat="1" x14ac:dyDescent="0.25">
      <c r="B12" s="5" t="s">
        <v>34</v>
      </c>
    </row>
    <row r="13" spans="2:5" s="4" customFormat="1" x14ac:dyDescent="0.25">
      <c r="B13" s="3" t="s">
        <v>35</v>
      </c>
      <c r="C13" s="3" t="n">
        <v>52.0</v>
      </c>
    </row>
    <row r="14" spans="2:5" s="4" customFormat="1" x14ac:dyDescent="0.25">
      <c r="B14" s="3" t="s">
        <v>37</v>
      </c>
      <c r="C14" s="3" t="s">
        <v>161</v>
      </c>
      <c r="D14" s="11"/>
    </row>
    <row r="15" spans="2:5" s="4" customFormat="1" x14ac:dyDescent="0.25">
      <c r="B15" s="3" t="s">
        <v>39</v>
      </c>
      <c r="C15" s="3" t="s">
        <v>162</v>
      </c>
    </row>
    <row r="16" spans="2:5" s="4" customFormat="1" x14ac:dyDescent="0.25">
      <c r="B16" s="3" t="s">
        <v>40</v>
      </c>
      <c r="C16" s="3" t="s">
        <v>163</v>
      </c>
    </row>
    <row r="17" spans="1:24" s="4" customFormat="1" x14ac:dyDescent="0.25">
      <c r="B17" s="3" t="s">
        <v>42</v>
      </c>
      <c r="C17" s="3" t="n">
        <v>0.0</v>
      </c>
    </row>
    <row r="18" spans="1:24" s="4" customFormat="1" x14ac:dyDescent="0.25">
      <c r="B18" s="3" t="s">
        <v>44</v>
      </c>
      <c r="C18" s="3" t="s">
        <v>164</v>
      </c>
    </row>
    <row r="19" spans="1:24" s="4" customFormat="1" x14ac:dyDescent="0.25">
      <c r="B19" s="3" t="s">
        <v>46</v>
      </c>
      <c r="C19" s="3"/>
    </row>
    <row r="20" spans="1:24" s="4" customFormat="1" x14ac:dyDescent="0.25">
      <c r="B20" s="3" t="s">
        <v>156</v>
      </c>
      <c r="C20" s="3"/>
    </row>
    <row r="21" spans="1:24" s="4" customFormat="1" x14ac:dyDescent="0.25"/>
    <row r="22" spans="1:24" s="4" customFormat="1" x14ac:dyDescent="0.25"/>
    <row r="23" spans="1:24" s="5" customFormat="1" x14ac:dyDescent="0.25">
      <c r="A23" s="6" t="s">
        <v>48</v>
      </c>
      <c r="B23" s="6" t="s">
        <v>49</v>
      </c>
      <c r="C23" s="6" t="s">
        <v>157</v>
      </c>
      <c r="D23" s="6" t="s">
        <v>50</v>
      </c>
      <c r="E23" s="6" t="s">
        <v>14</v>
      </c>
      <c r="F23" s="6" t="s">
        <v>51</v>
      </c>
      <c r="G23" s="6" t="s">
        <v>52</v>
      </c>
      <c r="H23" s="6" t="s">
        <v>15</v>
      </c>
      <c r="I23" s="6" t="s">
        <v>91</v>
      </c>
      <c r="J23" s="6" t="s">
        <v>53</v>
      </c>
      <c r="K23" s="6" t="s">
        <v>54</v>
      </c>
      <c r="L23" s="6" t="s">
        <v>55</v>
      </c>
      <c r="M23" s="6" t="s">
        <v>56</v>
      </c>
      <c r="N23" s="6" t="s">
        <v>57</v>
      </c>
      <c r="O23" s="6" t="s">
        <v>58</v>
      </c>
      <c r="P23" s="6" t="s">
        <v>59</v>
      </c>
      <c r="Q23" s="6" t="s">
        <v>60</v>
      </c>
      <c r="R23" s="6" t="s">
        <v>61</v>
      </c>
      <c r="S23" s="6" t="s">
        <v>62</v>
      </c>
      <c r="T23" s="6" t="s">
        <v>63</v>
      </c>
      <c r="U23" s="6" t="s">
        <v>64</v>
      </c>
      <c r="V23" s="6" t="s">
        <v>65</v>
      </c>
      <c r="W23" s="6" t="s">
        <v>66</v>
      </c>
      <c r="X23" s="6" t="s">
        <v>67</v>
      </c>
    </row>
    <row r="24" spans="1:24" x14ac:dyDescent="0.25" ht="15.0" customHeight="true">
      <c r="A24" s="2" t="n">
        <v>8421379.0</v>
      </c>
      <c r="B24" s="2" t="s">
        <v>165</v>
      </c>
      <c r="C24" s="2" t="n">
        <v>1.0</v>
      </c>
      <c r="D24" s="2"/>
      <c r="E24" s="2" t="s">
        <v>166</v>
      </c>
      <c r="F24" s="2" t="s">
        <v>167</v>
      </c>
      <c r="G24" s="2" t="s">
        <v>168</v>
      </c>
      <c r="H24" s="7" t="n">
        <v>1.0</v>
      </c>
      <c r="I24" s="7" t="n">
        <v>0.0</v>
      </c>
      <c r="J24" s="7"/>
      <c r="K24" s="7"/>
      <c r="L24" s="9"/>
      <c r="M24" s="9" t="n">
        <v>100.0</v>
      </c>
      <c r="N24" s="9"/>
      <c r="O24" s="9"/>
      <c r="P24" s="9"/>
      <c r="Q24" s="9"/>
      <c r="R24" s="9"/>
      <c r="S24" s="2" t="s">
        <v>166</v>
      </c>
      <c r="T24" s="9"/>
      <c r="U24" s="9"/>
      <c r="V24" s="2"/>
      <c r="W24" s="2" t="s">
        <v>170</v>
      </c>
      <c r="X24" s="2"/>
    </row>
  </sheetData>
  <sheetProtection deleteRows="0"/>
  <conditionalFormatting sqref="D27:D1048576 E24:E26">
    <cfRule type="expression" dxfId="16" priority="4">
      <formula>AND(ISBLANK(CELL("contents",INDIRECT(ADDRESS(ROW(), COLUMN())))),OR(NOT(ISBLANK(CELL("contents", INDIRECT(ADDRESS(ROW(), COLUMN()+1))))),NOT(ISBLANK(CELL("contents", INDIRECT(ADDRESS(ROW(), COLUMN()+2))))),NOT(ISBLANK(CELL("contents", INDIRECT(ADDRESS(ROW(), COLUMN()+3)))))))</formula>
    </cfRule>
  </conditionalFormatting>
  <conditionalFormatting sqref="E27:E1048576 F24:F26">
    <cfRule type="expression" dxfId="15" priority="3">
      <formula>AND(ISBLANK(CELL("contents",INDIRECT(ADDRESS(ROW(), COLUMN())))),OR(NOT(ISBLANK(CELL("contents", INDIRECT(ADDRESS(ROW(), COLUMN()-1))))),NOT(ISBLANK(CELL("contents", INDIRECT(ADDRESS(ROW(), COLUMN()+1))))),NOT(ISBLANK(CELL("contents", INDIRECT(ADDRESS(ROW(), COLUMN()+2)))))))</formula>
    </cfRule>
  </conditionalFormatting>
  <conditionalFormatting sqref="F27:F1048576 G24:G26">
    <cfRule type="expression" dxfId="14" priority="2">
      <formula>AND(ISBLANK(CELL("contents",INDIRECT(ADDRESS(ROW(), COLUMN())))),OR(NOT(ISBLANK(CELL("contents", INDIRECT(ADDRESS(ROW(), COLUMN()-2))))),NOT(ISBLANK(CELL("contents", INDIRECT(ADDRESS(ROW(), COLUMN()-1))))),NOT(ISBLANK(CELL("contents", INDIRECT(ADDRESS(ROW(), COLUMN()+1)))))))</formula>
    </cfRule>
  </conditionalFormatting>
  <conditionalFormatting sqref="G27:G1048576 H24:H26">
    <cfRule type="expression" dxfId="13" priority="1">
      <formula>AND(ISBLANK(CELL("contents",INDIRECT(ADDRESS(ROW(), COLUMN())))),OR(NOT(ISBLANK(CELL("contents", INDIRECT(ADDRESS(ROW(), COLUMN()-3))))),NOT(ISBLANK(CELL("contents", INDIRECT(ADDRESS(ROW(), COLUMN()-2))))),NOT(ISBLANK(CELL("contents", INDIRECT(ADDRESS(ROW(), COLUMN()-1)))))))</formula>
    </cfRule>
  </conditionalFormatting>
  <dataValidations count="109">
    <dataValidation type="textLength" allowBlank="1" showInputMessage="1" showErrorMessage="1" error="expected result:_x000a_Text, Value between 0 to 1000" prompt="Text, Value between 0 to 1000" sqref="X24:X26 V27:W1048576">
      <formula1>0</formula1>
      <formula2>1000</formula2>
    </dataValidation>
    <dataValidation type="textLength" showInputMessage="1" showErrorMessage="1" error="expected result:_x000a_Mandatory Field, Text, Value between 1 to 510_x000a_" prompt="Mandatory Field, Text, Value between 1 to 510_x000a_" sqref="D27:D1048576 E24:E26">
      <formula1>1</formula1>
      <formula2>510</formula2>
    </dataValidation>
    <dataValidation type="whole" allowBlank="1" showInputMessage="1" showErrorMessage="1" error="expected result:_x000a_Mandatory Field, Number, Value between 1 to 100000" prompt="Mandatory Field, Number, Value between 1 to 100000" sqref="G27:G1048576 H24:H26">
      <formula1>1</formula1>
      <formula2>100000</formula2>
    </dataValidation>
    <dataValidation type="whole" allowBlank="1" showInputMessage="1" showErrorMessage="1" error="expected result:_x000a_Number, Value between 0 to 11" prompt="Number, Value between 0 to 11" sqref="I27:I1048576 J24:J26">
      <formula1>0</formula1>
      <formula2>11</formula2>
    </dataValidation>
    <dataValidation type="whole" allowBlank="1" showInputMessage="1" showErrorMessage="1" error="expected result:_x000a_Number, Value between 0 to 999999" prompt="Number, Value between 0 to 999999" sqref="J27:J1048576 K24:K26">
      <formula1>0</formula1>
      <formula2>999999</formula2>
    </dataValidation>
    <dataValidation type="decimal" allowBlank="1" showInputMessage="1" showErrorMessage="1" error="expected result:_x000a_Currency, Value between 0 to 9999999,00" prompt="Currency, Value between 0 to 9999999,00" sqref="K27:Q1048576 T24:U26 S27:T1048576 L24:R26">
      <formula1>0</formula1>
      <formula2>9999999</formula2>
    </dataValidation>
    <dataValidation type="whole" allowBlank="1" showInputMessage="1" showErrorMessage="1" error="expected result:_x000a_Number, Value between 0 to 100" prompt="Number, Value between 0 to 100" sqref="H27:H1048576 I24:I26">
      <formula1>0</formula1>
      <formula2>100</formula2>
    </dataValidation>
    <dataValidation type="list" sqref="F24" errorStyle="stop" allowBlank="true">
      <formula1>CategoriesDD</formula1>
    </dataValidation>
    <dataValidation type="list" sqref="G24" errorStyle="stop" allowBlank="true">
      <formula1>INDIRECT(UPPER("_" &amp; SUBSTITUTE(SUBSTITUTE(SUBSTITUTE(SUBSTITUTE($F$24, "&amp;",  "_"), " ",  "_"), ",",  "_"), "-",  "_")))</formula1>
    </dataValidation>
    <dataValidation type="list" sqref="F25" errorStyle="stop" allowBlank="true">
      <formula1>CategoriesDD</formula1>
    </dataValidation>
    <dataValidation type="list" sqref="G25" errorStyle="stop" allowBlank="true">
      <formula1>INDIRECT(UPPER("_" &amp; SUBSTITUTE(SUBSTITUTE(SUBSTITUTE(SUBSTITUTE($F$25, "&amp;",  "_"), " ",  "_"), ",",  "_"), "-",  "_")))</formula1>
    </dataValidation>
    <dataValidation type="list" sqref="F26" errorStyle="stop" allowBlank="true">
      <formula1>CategoriesDD</formula1>
    </dataValidation>
    <dataValidation type="list" sqref="G26" errorStyle="stop" allowBlank="true">
      <formula1>INDIRECT(UPPER("_" &amp; SUBSTITUTE(SUBSTITUTE(SUBSTITUTE(SUBSTITUTE($F$26, "&amp;",  "_"), " ",  "_"), ",",  "_"), "-",  "_")))</formula1>
    </dataValidation>
    <dataValidation type="list" sqref="F27" errorStyle="stop" allowBlank="true">
      <formula1>CategoriesDD</formula1>
    </dataValidation>
    <dataValidation type="list" sqref="G27" errorStyle="stop" allowBlank="true">
      <formula1>INDIRECT(UPPER("_" &amp; SUBSTITUTE(SUBSTITUTE(SUBSTITUTE(SUBSTITUTE($F$27, "&amp;",  "_"), " ",  "_"), ",",  "_"), "-",  "_")))</formula1>
    </dataValidation>
    <dataValidation type="list" sqref="F28" errorStyle="stop" allowBlank="true">
      <formula1>CategoriesDD</formula1>
    </dataValidation>
    <dataValidation type="list" sqref="G28" errorStyle="stop" allowBlank="true">
      <formula1>INDIRECT(UPPER("_" &amp; SUBSTITUTE(SUBSTITUTE(SUBSTITUTE(SUBSTITUTE($F$28, "&amp;",  "_"), " ",  "_"), ",",  "_"), "-",  "_")))</formula1>
    </dataValidation>
    <dataValidation type="list" sqref="F29" errorStyle="stop" allowBlank="true">
      <formula1>CategoriesDD</formula1>
    </dataValidation>
    <dataValidation type="list" sqref="G29" errorStyle="stop" allowBlank="true">
      <formula1>INDIRECT(UPPER("_" &amp; SUBSTITUTE(SUBSTITUTE(SUBSTITUTE(SUBSTITUTE($F$29, "&amp;",  "_"), " ",  "_"), ",",  "_"), "-",  "_")))</formula1>
    </dataValidation>
    <dataValidation type="list" sqref="F30" errorStyle="stop" allowBlank="true">
      <formula1>CategoriesDD</formula1>
    </dataValidation>
    <dataValidation type="list" sqref="G30" errorStyle="stop" allowBlank="true">
      <formula1>INDIRECT(UPPER("_" &amp; SUBSTITUTE(SUBSTITUTE(SUBSTITUTE(SUBSTITUTE($F$30, "&amp;",  "_"), " ",  "_"), ",",  "_"), "-",  "_")))</formula1>
    </dataValidation>
    <dataValidation type="list" sqref="F31" errorStyle="stop" allowBlank="true">
      <formula1>CategoriesDD</formula1>
    </dataValidation>
    <dataValidation type="list" sqref="G31" errorStyle="stop" allowBlank="true">
      <formula1>INDIRECT(UPPER("_" &amp; SUBSTITUTE(SUBSTITUTE(SUBSTITUTE(SUBSTITUTE($F$31, "&amp;",  "_"), " ",  "_"), ",",  "_"), "-",  "_")))</formula1>
    </dataValidation>
    <dataValidation type="list" sqref="F32" errorStyle="stop" allowBlank="true">
      <formula1>CategoriesDD</formula1>
    </dataValidation>
    <dataValidation type="list" sqref="G32" errorStyle="stop" allowBlank="true">
      <formula1>INDIRECT(UPPER("_" &amp; SUBSTITUTE(SUBSTITUTE(SUBSTITUTE(SUBSTITUTE($F$32, "&amp;",  "_"), " ",  "_"), ",",  "_"), "-",  "_")))</formula1>
    </dataValidation>
    <dataValidation type="list" sqref="F33" errorStyle="stop" allowBlank="true">
      <formula1>CategoriesDD</formula1>
    </dataValidation>
    <dataValidation type="list" sqref="G33" errorStyle="stop" allowBlank="true">
      <formula1>INDIRECT(UPPER("_" &amp; SUBSTITUTE(SUBSTITUTE(SUBSTITUTE(SUBSTITUTE($F$33, "&amp;",  "_"), " ",  "_"), ",",  "_"), "-",  "_")))</formula1>
    </dataValidation>
    <dataValidation type="list" sqref="F34" errorStyle="stop" allowBlank="true">
      <formula1>CategoriesDD</formula1>
    </dataValidation>
    <dataValidation type="list" sqref="G34" errorStyle="stop" allowBlank="true">
      <formula1>INDIRECT(UPPER("_" &amp; SUBSTITUTE(SUBSTITUTE(SUBSTITUTE(SUBSTITUTE($F$34, "&amp;",  "_"), " ",  "_"), ",",  "_"), "-",  "_")))</formula1>
    </dataValidation>
    <dataValidation type="list" sqref="F35" errorStyle="stop" allowBlank="true">
      <formula1>CategoriesDD</formula1>
    </dataValidation>
    <dataValidation type="list" sqref="G35" errorStyle="stop" allowBlank="true">
      <formula1>INDIRECT(UPPER("_" &amp; SUBSTITUTE(SUBSTITUTE(SUBSTITUTE(SUBSTITUTE($F$35, "&amp;",  "_"), " ",  "_"), ",",  "_"), "-",  "_")))</formula1>
    </dataValidation>
    <dataValidation type="list" sqref="F36" errorStyle="stop" allowBlank="true">
      <formula1>CategoriesDD</formula1>
    </dataValidation>
    <dataValidation type="list" sqref="G36" errorStyle="stop" allowBlank="true">
      <formula1>INDIRECT(UPPER("_" &amp; SUBSTITUTE(SUBSTITUTE(SUBSTITUTE(SUBSTITUTE($F$36, "&amp;",  "_"), " ",  "_"), ",",  "_"), "-",  "_")))</formula1>
    </dataValidation>
    <dataValidation type="list" sqref="F37" errorStyle="stop" allowBlank="true">
      <formula1>CategoriesDD</formula1>
    </dataValidation>
    <dataValidation type="list" sqref="G37" errorStyle="stop" allowBlank="true">
      <formula1>INDIRECT(UPPER("_" &amp; SUBSTITUTE(SUBSTITUTE(SUBSTITUTE(SUBSTITUTE($F$37, "&amp;",  "_"), " ",  "_"), ",",  "_"), "-",  "_")))</formula1>
    </dataValidation>
    <dataValidation type="list" sqref="F38" errorStyle="stop" allowBlank="true">
      <formula1>CategoriesDD</formula1>
    </dataValidation>
    <dataValidation type="list" sqref="G38" errorStyle="stop" allowBlank="true">
      <formula1>INDIRECT(UPPER("_" &amp; SUBSTITUTE(SUBSTITUTE(SUBSTITUTE(SUBSTITUTE($F$38, "&amp;",  "_"), " ",  "_"), ",",  "_"), "-",  "_")))</formula1>
    </dataValidation>
    <dataValidation type="list" sqref="F39" errorStyle="stop" allowBlank="true">
      <formula1>CategoriesDD</formula1>
    </dataValidation>
    <dataValidation type="list" sqref="G39" errorStyle="stop" allowBlank="true">
      <formula1>INDIRECT(UPPER("_" &amp; SUBSTITUTE(SUBSTITUTE(SUBSTITUTE(SUBSTITUTE($F$39, "&amp;",  "_"), " ",  "_"), ",",  "_"), "-",  "_")))</formula1>
    </dataValidation>
    <dataValidation type="list" sqref="F40" errorStyle="stop" allowBlank="true">
      <formula1>CategoriesDD</formula1>
    </dataValidation>
    <dataValidation type="list" sqref="G40" errorStyle="stop" allowBlank="true">
      <formula1>INDIRECT(UPPER("_" &amp; SUBSTITUTE(SUBSTITUTE(SUBSTITUTE(SUBSTITUTE($F$40, "&amp;",  "_"), " ",  "_"), ",",  "_"), "-",  "_")))</formula1>
    </dataValidation>
    <dataValidation type="list" sqref="F41" errorStyle="stop" allowBlank="true">
      <formula1>CategoriesDD</formula1>
    </dataValidation>
    <dataValidation type="list" sqref="G41" errorStyle="stop" allowBlank="true">
      <formula1>INDIRECT(UPPER("_" &amp; SUBSTITUTE(SUBSTITUTE(SUBSTITUTE(SUBSTITUTE($F$41, "&amp;",  "_"), " ",  "_"), ",",  "_"), "-",  "_")))</formula1>
    </dataValidation>
    <dataValidation type="list" sqref="F42" errorStyle="stop" allowBlank="true">
      <formula1>CategoriesDD</formula1>
    </dataValidation>
    <dataValidation type="list" sqref="G42" errorStyle="stop" allowBlank="true">
      <formula1>INDIRECT(UPPER("_" &amp; SUBSTITUTE(SUBSTITUTE(SUBSTITUTE(SUBSTITUTE($F$42, "&amp;",  "_"), " ",  "_"), ",",  "_"), "-",  "_")))</formula1>
    </dataValidation>
    <dataValidation type="list" sqref="F43" errorStyle="stop" allowBlank="true">
      <formula1>CategoriesDD</formula1>
    </dataValidation>
    <dataValidation type="list" sqref="G43" errorStyle="stop" allowBlank="true">
      <formula1>INDIRECT(UPPER("_" &amp; SUBSTITUTE(SUBSTITUTE(SUBSTITUTE(SUBSTITUTE($F$43, "&amp;",  "_"), " ",  "_"), ",",  "_"), "-",  "_")))</formula1>
    </dataValidation>
    <dataValidation type="list" sqref="F44" errorStyle="stop" allowBlank="true">
      <formula1>CategoriesDD</formula1>
    </dataValidation>
    <dataValidation type="list" sqref="G44" errorStyle="stop" allowBlank="true">
      <formula1>INDIRECT(UPPER("_" &amp; SUBSTITUTE(SUBSTITUTE(SUBSTITUTE(SUBSTITUTE($F$44, "&amp;",  "_"), " ",  "_"), ",",  "_"), "-",  "_")))</formula1>
    </dataValidation>
    <dataValidation type="list" sqref="F45" errorStyle="stop" allowBlank="true">
      <formula1>CategoriesDD</formula1>
    </dataValidation>
    <dataValidation type="list" sqref="G45" errorStyle="stop" allowBlank="true">
      <formula1>INDIRECT(UPPER("_" &amp; SUBSTITUTE(SUBSTITUTE(SUBSTITUTE(SUBSTITUTE($F$45, "&amp;",  "_"), " ",  "_"), ",",  "_"), "-",  "_")))</formula1>
    </dataValidation>
    <dataValidation type="list" sqref="F46" errorStyle="stop" allowBlank="true">
      <formula1>CategoriesDD</formula1>
    </dataValidation>
    <dataValidation type="list" sqref="G46" errorStyle="stop" allowBlank="true">
      <formula1>INDIRECT(UPPER("_" &amp; SUBSTITUTE(SUBSTITUTE(SUBSTITUTE(SUBSTITUTE($F$46, "&amp;",  "_"), " ",  "_"), ",",  "_"), "-",  "_")))</formula1>
    </dataValidation>
    <dataValidation type="list" sqref="F47" errorStyle="stop" allowBlank="true">
      <formula1>CategoriesDD</formula1>
    </dataValidation>
    <dataValidation type="list" sqref="G47" errorStyle="stop" allowBlank="true">
      <formula1>INDIRECT(UPPER("_" &amp; SUBSTITUTE(SUBSTITUTE(SUBSTITUTE(SUBSTITUTE($F$47, "&amp;",  "_"), " ",  "_"), ",",  "_"), "-",  "_")))</formula1>
    </dataValidation>
    <dataValidation type="list" sqref="F48" errorStyle="stop" allowBlank="true">
      <formula1>CategoriesDD</formula1>
    </dataValidation>
    <dataValidation type="list" sqref="G48" errorStyle="stop" allowBlank="true">
      <formula1>INDIRECT(UPPER("_" &amp; SUBSTITUTE(SUBSTITUTE(SUBSTITUTE(SUBSTITUTE($F$48, "&amp;",  "_"), " ",  "_"), ",",  "_"), "-",  "_")))</formula1>
    </dataValidation>
    <dataValidation type="list" sqref="F49" errorStyle="stop" allowBlank="true">
      <formula1>CategoriesDD</formula1>
    </dataValidation>
    <dataValidation type="list" sqref="G49" errorStyle="stop" allowBlank="true">
      <formula1>INDIRECT(UPPER("_" &amp; SUBSTITUTE(SUBSTITUTE(SUBSTITUTE(SUBSTITUTE($F$49, "&amp;",  "_"), " ",  "_"), ",",  "_"), "-",  "_")))</formula1>
    </dataValidation>
    <dataValidation type="list" sqref="F50" errorStyle="stop" allowBlank="true">
      <formula1>CategoriesDD</formula1>
    </dataValidation>
    <dataValidation type="list" sqref="G50" errorStyle="stop" allowBlank="true">
      <formula1>INDIRECT(UPPER("_" &amp; SUBSTITUTE(SUBSTITUTE(SUBSTITUTE(SUBSTITUTE($F$50, "&amp;",  "_"), " ",  "_"), ",",  "_"), "-",  "_")))</formula1>
    </dataValidation>
    <dataValidation type="list" sqref="F51" errorStyle="stop" allowBlank="true">
      <formula1>CategoriesDD</formula1>
    </dataValidation>
    <dataValidation type="list" sqref="G51" errorStyle="stop" allowBlank="true">
      <formula1>INDIRECT(UPPER("_" &amp; SUBSTITUTE(SUBSTITUTE(SUBSTITUTE(SUBSTITUTE($F$51, "&amp;",  "_"), " ",  "_"), ",",  "_"), "-",  "_")))</formula1>
    </dataValidation>
    <dataValidation type="list" sqref="F52" errorStyle="stop" allowBlank="true">
      <formula1>CategoriesDD</formula1>
    </dataValidation>
    <dataValidation type="list" sqref="G52" errorStyle="stop" allowBlank="true">
      <formula1>INDIRECT(UPPER("_" &amp; SUBSTITUTE(SUBSTITUTE(SUBSTITUTE(SUBSTITUTE($F$52, "&amp;",  "_"), " ",  "_"), ",",  "_"), "-",  "_")))</formula1>
    </dataValidation>
    <dataValidation type="list" sqref="F53" errorStyle="stop" allowBlank="true">
      <formula1>CategoriesDD</formula1>
    </dataValidation>
    <dataValidation type="list" sqref="G53" errorStyle="stop" allowBlank="true">
      <formula1>INDIRECT(UPPER("_" &amp; SUBSTITUTE(SUBSTITUTE(SUBSTITUTE(SUBSTITUTE($F$53, "&amp;",  "_"), " ",  "_"), ",",  "_"), "-",  "_")))</formula1>
    </dataValidation>
    <dataValidation type="list" sqref="F54" errorStyle="stop" allowBlank="true">
      <formula1>CategoriesDD</formula1>
    </dataValidation>
    <dataValidation type="list" sqref="G54" errorStyle="stop" allowBlank="true">
      <formula1>INDIRECT(UPPER("_" &amp; SUBSTITUTE(SUBSTITUTE(SUBSTITUTE(SUBSTITUTE($F$54, "&amp;",  "_"), " ",  "_"), ",",  "_"), "-",  "_")))</formula1>
    </dataValidation>
    <dataValidation type="list" sqref="F55" errorStyle="stop" allowBlank="true">
      <formula1>CategoriesDD</formula1>
    </dataValidation>
    <dataValidation type="list" sqref="G55" errorStyle="stop" allowBlank="true">
      <formula1>INDIRECT(UPPER("_" &amp; SUBSTITUTE(SUBSTITUTE(SUBSTITUTE(SUBSTITUTE($F$55, "&amp;",  "_"), " ",  "_"), ",",  "_"), "-",  "_")))</formula1>
    </dataValidation>
    <dataValidation type="list" sqref="F56" errorStyle="stop" allowBlank="true">
      <formula1>CategoriesDD</formula1>
    </dataValidation>
    <dataValidation type="list" sqref="G56" errorStyle="stop" allowBlank="true">
      <formula1>INDIRECT(UPPER("_" &amp; SUBSTITUTE(SUBSTITUTE(SUBSTITUTE(SUBSTITUTE($F$56, "&amp;",  "_"), " ",  "_"), ",",  "_"), "-",  "_")))</formula1>
    </dataValidation>
    <dataValidation type="list" sqref="F57" errorStyle="stop" allowBlank="true">
      <formula1>CategoriesDD</formula1>
    </dataValidation>
    <dataValidation type="list" sqref="G57" errorStyle="stop" allowBlank="true">
      <formula1>INDIRECT(UPPER("_" &amp; SUBSTITUTE(SUBSTITUTE(SUBSTITUTE(SUBSTITUTE($F$57, "&amp;",  "_"), " ",  "_"), ",",  "_"), "-",  "_")))</formula1>
    </dataValidation>
    <dataValidation type="list" sqref="F58" errorStyle="stop" allowBlank="true">
      <formula1>CategoriesDD</formula1>
    </dataValidation>
    <dataValidation type="list" sqref="G58" errorStyle="stop" allowBlank="true">
      <formula1>INDIRECT(UPPER("_" &amp; SUBSTITUTE(SUBSTITUTE(SUBSTITUTE(SUBSTITUTE($F$58, "&amp;",  "_"), " ",  "_"), ",",  "_"), "-",  "_")))</formula1>
    </dataValidation>
    <dataValidation type="list" sqref="F59" errorStyle="stop" allowBlank="true">
      <formula1>CategoriesDD</formula1>
    </dataValidation>
    <dataValidation type="list" sqref="G59" errorStyle="stop" allowBlank="true">
      <formula1>INDIRECT(UPPER("_" &amp; SUBSTITUTE(SUBSTITUTE(SUBSTITUTE(SUBSTITUTE($F$59, "&amp;",  "_"), " ",  "_"), ",",  "_"), "-",  "_")))</formula1>
    </dataValidation>
    <dataValidation type="list" sqref="F60" errorStyle="stop" allowBlank="true">
      <formula1>CategoriesDD</formula1>
    </dataValidation>
    <dataValidation type="list" sqref="G60" errorStyle="stop" allowBlank="true">
      <formula1>INDIRECT(UPPER("_" &amp; SUBSTITUTE(SUBSTITUTE(SUBSTITUTE(SUBSTITUTE($F$60, "&amp;",  "_"), " ",  "_"), ",",  "_"), "-",  "_")))</formula1>
    </dataValidation>
    <dataValidation type="list" sqref="F61" errorStyle="stop" allowBlank="true">
      <formula1>CategoriesDD</formula1>
    </dataValidation>
    <dataValidation type="list" sqref="G61" errorStyle="stop" allowBlank="true">
      <formula1>INDIRECT(UPPER("_" &amp; SUBSTITUTE(SUBSTITUTE(SUBSTITUTE(SUBSTITUTE($F$61, "&amp;",  "_"), " ",  "_"), ",",  "_"), "-",  "_")))</formula1>
    </dataValidation>
    <dataValidation type="list" sqref="F62" errorStyle="stop" allowBlank="true">
      <formula1>CategoriesDD</formula1>
    </dataValidation>
    <dataValidation type="list" sqref="G62" errorStyle="stop" allowBlank="true">
      <formula1>INDIRECT(UPPER("_" &amp; SUBSTITUTE(SUBSTITUTE(SUBSTITUTE(SUBSTITUTE($F$62, "&amp;",  "_"), " ",  "_"), ",",  "_"), "-",  "_")))</formula1>
    </dataValidation>
    <dataValidation type="list" sqref="F63" errorStyle="stop" allowBlank="true">
      <formula1>CategoriesDD</formula1>
    </dataValidation>
    <dataValidation type="list" sqref="G63" errorStyle="stop" allowBlank="true">
      <formula1>INDIRECT(UPPER("_" &amp; SUBSTITUTE(SUBSTITUTE(SUBSTITUTE(SUBSTITUTE($F$63, "&amp;",  "_"), " ",  "_"), ",",  "_"), "-",  "_")))</formula1>
    </dataValidation>
    <dataValidation type="list" sqref="F64" errorStyle="stop" allowBlank="true">
      <formula1>CategoriesDD</formula1>
    </dataValidation>
    <dataValidation type="list" sqref="G64" errorStyle="stop" allowBlank="true">
      <formula1>INDIRECT(UPPER("_" &amp; SUBSTITUTE(SUBSTITUTE(SUBSTITUTE(SUBSTITUTE($F$64, "&amp;",  "_"), " ",  "_"), ",",  "_"), "-",  "_")))</formula1>
    </dataValidation>
    <dataValidation type="list" sqref="F65" errorStyle="stop" allowBlank="true">
      <formula1>CategoriesDD</formula1>
    </dataValidation>
    <dataValidation type="list" sqref="G65" errorStyle="stop" allowBlank="true">
      <formula1>INDIRECT(UPPER("_" &amp; SUBSTITUTE(SUBSTITUTE(SUBSTITUTE(SUBSTITUTE($F$65, "&amp;",  "_"), " ",  "_"), ",",  "_"), "-",  "_")))</formula1>
    </dataValidation>
    <dataValidation type="list" sqref="F66" errorStyle="stop" allowBlank="true">
      <formula1>CategoriesDD</formula1>
    </dataValidation>
    <dataValidation type="list" sqref="G66" errorStyle="stop" allowBlank="true">
      <formula1>INDIRECT(UPPER("_" &amp; SUBSTITUTE(SUBSTITUTE(SUBSTITUTE(SUBSTITUTE($F$66, "&amp;",  "_"), " ",  "_"), ",",  "_"), "-",  "_")))</formula1>
    </dataValidation>
    <dataValidation type="list" sqref="F67" errorStyle="stop" allowBlank="true">
      <formula1>CategoriesDD</formula1>
    </dataValidation>
    <dataValidation type="list" sqref="G67" errorStyle="stop" allowBlank="true">
      <formula1>INDIRECT(UPPER("_" &amp; SUBSTITUTE(SUBSTITUTE(SUBSTITUTE(SUBSTITUTE($F$67, "&amp;",  "_"), " ",  "_"), ",",  "_"), "-",  "_")))</formula1>
    </dataValidation>
    <dataValidation type="list" sqref="F68" errorStyle="stop" allowBlank="true">
      <formula1>CategoriesDD</formula1>
    </dataValidation>
    <dataValidation type="list" sqref="G68" errorStyle="stop" allowBlank="true">
      <formula1>INDIRECT(UPPER("_" &amp; SUBSTITUTE(SUBSTITUTE(SUBSTITUTE(SUBSTITUTE($F$68, "&amp;",  "_"), " ",  "_"), ",",  "_"), "-",  "_")))</formula1>
    </dataValidation>
    <dataValidation type="list" sqref="F69" errorStyle="stop" allowBlank="true">
      <formula1>CategoriesDD</formula1>
    </dataValidation>
    <dataValidation type="list" sqref="G69" errorStyle="stop" allowBlank="true">
      <formula1>INDIRECT(UPPER("_" &amp; SUBSTITUTE(SUBSTITUTE(SUBSTITUTE(SUBSTITUTE($F$69, "&amp;",  "_"), " ",  "_"), ",",  "_"), "-",  "_")))</formula1>
    </dataValidation>
    <dataValidation type="list" sqref="F70" errorStyle="stop" allowBlank="true">
      <formula1>CategoriesDD</formula1>
    </dataValidation>
    <dataValidation type="list" sqref="G70" errorStyle="stop" allowBlank="true">
      <formula1>INDIRECT(UPPER("_" &amp; SUBSTITUTE(SUBSTITUTE(SUBSTITUTE(SUBSTITUTE($F$70, "&amp;",  "_"), " ",  "_"), ",",  "_"), "-",  "_")))</formula1>
    </dataValidation>
    <dataValidation type="list" sqref="F71" errorStyle="stop" allowBlank="true">
      <formula1>CategoriesDD</formula1>
    </dataValidation>
    <dataValidation type="list" sqref="G71" errorStyle="stop" allowBlank="true">
      <formula1>INDIRECT(UPPER("_" &amp; SUBSTITUTE(SUBSTITUTE(SUBSTITUTE(SUBSTITUTE($F$71, "&amp;",  "_"), " ",  "_"), ",",  "_"), "-",  "_")))</formula1>
    </dataValidation>
    <dataValidation type="list" sqref="F72" errorStyle="stop" allowBlank="true">
      <formula1>CategoriesDD</formula1>
    </dataValidation>
    <dataValidation type="list" sqref="G72" errorStyle="stop" allowBlank="true">
      <formula1>INDIRECT(UPPER("_" &amp; SUBSTITUTE(SUBSTITUTE(SUBSTITUTE(SUBSTITUTE($F$72, "&amp;",  "_"), " ",  "_"), ",",  "_"), "-",  "_")))</formula1>
    </dataValidation>
    <dataValidation type="list" sqref="F73" errorStyle="stop" allowBlank="true">
      <formula1>CategoriesDD</formula1>
    </dataValidation>
    <dataValidation type="list" sqref="G73" errorStyle="stop" allowBlank="true">
      <formula1>INDIRECT(UPPER("_" &amp; SUBSTITUTE(SUBSTITUTE(SUBSTITUTE(SUBSTITUTE($F$73, "&amp;",  "_"), " ",  "_"), ",",  "_"), "-",  "_")))</formula1>
    </dataValidation>
    <dataValidation type="list" sqref="F74" errorStyle="stop" allowBlank="true">
      <formula1>CategoriesDD</formula1>
    </dataValidation>
    <dataValidation type="list" sqref="G74" errorStyle="stop" allowBlank="true">
      <formula1>INDIRECT(UPPER("_" &amp; SUBSTITUTE(SUBSTITUTE(SUBSTITUTE(SUBSTITUTE($F$74, "&amp;",  "_"), " ",  "_"), ",",  "_"), "-",  "_")))</formula1>
    </dataValidation>
  </dataValidations>
  <pageMargins left="0.7" right="0.7" top="0.75" bottom="0.75" header="0.3" footer="0.3"/>
  <pageSetup paperSize="9" orientation="portrait" r:id="rId1"/>
  <drawing r:id="rId2"/>
  <legacyDrawing r:id="rId3"/>
  <mc:AlternateContent>
    <mc:Choice Requires="x14">
      <controls>
        <mc:AlternateContent>
          <mc:Choice Requires="x14">
            <control shapeId="2049" r:id="rId4" name="Button 1">
              <controlPr defaultSize="0" print="0" autoFill="0" autoPict="0" macro="[0]!testOutlookIsOpenGB">
                <anchor moveWithCells="1" sizeWithCells="1">
                  <from>
                    <xdr:col>4</xdr:col>
                    <xdr:colOff>38100</xdr:colOff>
                    <xdr:row>1</xdr:row>
                    <xdr:rowOff>180975</xdr:rowOff>
                  </from>
                  <to>
                    <xdr:col>4</xdr:col>
                    <xdr:colOff>1809750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2"/>
  <sheetViews>
    <sheetView zoomScale="90" zoomScaleNormal="90" workbookViewId="0">
      <selection activeCell="F21" sqref="F21"/>
    </sheetView>
  </sheetViews>
  <sheetFormatPr defaultRowHeight="15" x14ac:dyDescent="0.25"/>
  <cols>
    <col min="1" max="1" customWidth="true" style="19" width="3.42578125" collapsed="true"/>
    <col min="2" max="2" bestFit="true" customWidth="true" style="19" width="3.0" collapsed="true"/>
    <col min="3" max="3" customWidth="true" style="53" width="27.7109375" collapsed="true"/>
    <col min="4" max="4" bestFit="true" customWidth="true" style="19" width="27.42578125" collapsed="true"/>
    <col min="5" max="5" customWidth="true" style="17" width="10.42578125" collapsed="true"/>
    <col min="6" max="6" customWidth="true" style="18" width="10.42578125" collapsed="true"/>
    <col min="7" max="8" customWidth="true" style="19" width="10.42578125" collapsed="true"/>
    <col min="9" max="10" customWidth="true" style="20" width="10.42578125" collapsed="true"/>
    <col min="11" max="11" customWidth="true" style="19" width="10.42578125" collapsed="true"/>
    <col min="12" max="12" bestFit="true" customWidth="true" style="19" width="13.42578125" collapsed="true"/>
    <col min="13" max="16384" style="19" width="9.140625" collapsed="true"/>
  </cols>
  <sheetData>
    <row r="1" spans="3:13" s="21" customFormat="1" x14ac:dyDescent="0.25">
      <c r="C1" s="58" t="s">
        <v>0</v>
      </c>
      <c r="D1" s="59" t="n">
        <v>24493.0</v>
      </c>
      <c r="E1" s="49"/>
      <c r="F1" s="48"/>
      <c r="I1" s="22"/>
      <c r="J1" s="22"/>
    </row>
    <row r="2" spans="3:13" x14ac:dyDescent="0.25">
      <c r="C2" s="19"/>
      <c r="E2" s="18"/>
      <c r="H2" s="21"/>
      <c r="I2" s="22"/>
      <c r="J2" s="21"/>
      <c r="K2" s="21"/>
      <c r="L2" s="21"/>
    </row>
    <row r="3" spans="3:13" x14ac:dyDescent="0.25">
      <c r="C3" s="15" t="s">
        <v>99</v>
      </c>
      <c r="D3" s="16" t="s">
        <v>171</v>
      </c>
      <c r="E3" s="18"/>
      <c r="H3" s="23" t="s">
        <v>111</v>
      </c>
      <c r="I3" s="24"/>
      <c r="J3" s="66"/>
      <c r="K3" s="67"/>
      <c r="L3" s="21"/>
    </row>
    <row r="4" spans="3:13" x14ac:dyDescent="0.25">
      <c r="C4" s="25" t="s">
        <v>100</v>
      </c>
      <c r="D4" s="26" t="s">
        <v>172</v>
      </c>
      <c r="E4" s="18"/>
      <c r="H4" s="27" t="s">
        <v>112</v>
      </c>
      <c r="I4" s="22"/>
      <c r="J4" s="68"/>
      <c r="K4" s="69"/>
      <c r="L4" s="21"/>
    </row>
    <row r="5" spans="3:13" x14ac:dyDescent="0.25">
      <c r="C5" s="28" t="s">
        <v>101</v>
      </c>
      <c r="D5" s="29" t="s">
        <v>173</v>
      </c>
      <c r="E5" s="18"/>
      <c r="H5" s="27" t="s">
        <v>113</v>
      </c>
      <c r="I5" s="22"/>
      <c r="J5" s="70"/>
      <c r="K5" s="71"/>
      <c r="L5" s="21"/>
    </row>
    <row r="6" spans="3:13" x14ac:dyDescent="0.25">
      <c r="C6" s="28" t="s">
        <v>102</v>
      </c>
      <c r="D6" s="29" t="s">
        <v>174</v>
      </c>
      <c r="E6" s="18"/>
      <c r="H6" s="27" t="s">
        <v>114</v>
      </c>
      <c r="I6" s="22"/>
      <c r="J6" s="70"/>
      <c r="K6" s="71"/>
      <c r="L6" s="21"/>
      <c r="M6" s="21"/>
    </row>
    <row r="7" spans="3:13" x14ac:dyDescent="0.25">
      <c r="C7" s="28" t="s">
        <v>103</v>
      </c>
      <c r="D7" s="29" t="s">
        <v>175</v>
      </c>
      <c r="E7" s="18"/>
      <c r="H7" s="27" t="s">
        <v>115</v>
      </c>
      <c r="I7" s="22"/>
      <c r="J7" s="68"/>
      <c r="K7" s="69"/>
      <c r="L7" s="21"/>
    </row>
    <row r="8" spans="3:13" x14ac:dyDescent="0.25">
      <c r="C8" s="28" t="s">
        <v>104</v>
      </c>
      <c r="D8" s="29" t="s">
        <v>176</v>
      </c>
      <c r="E8" s="18"/>
      <c r="H8" s="27" t="s">
        <v>116</v>
      </c>
      <c r="I8" s="22"/>
      <c r="J8" s="68"/>
      <c r="K8" s="69"/>
      <c r="L8" s="21"/>
    </row>
    <row r="9" spans="3:13" x14ac:dyDescent="0.25">
      <c r="C9" s="28" t="s">
        <v>105</v>
      </c>
      <c r="D9" s="29" t="s">
        <v>177</v>
      </c>
      <c r="E9" s="18"/>
      <c r="H9" s="30" t="s">
        <v>117</v>
      </c>
      <c r="I9" s="31"/>
      <c r="J9" s="72"/>
      <c r="K9" s="73"/>
      <c r="L9" s="21"/>
    </row>
    <row r="10" spans="3:13" x14ac:dyDescent="0.25">
      <c r="C10" s="28" t="s">
        <v>106</v>
      </c>
      <c r="D10" s="29" t="s">
        <v>178</v>
      </c>
      <c r="E10" s="18"/>
      <c r="J10" s="19"/>
    </row>
    <row r="11" spans="3:13" x14ac:dyDescent="0.25">
      <c r="C11" s="28" t="s">
        <v>137</v>
      </c>
      <c r="D11" s="29" t="s">
        <v>179</v>
      </c>
      <c r="E11" s="18"/>
      <c r="H11" s="35" t="s">
        <v>10</v>
      </c>
      <c r="I11" s="24"/>
      <c r="J11" s="60"/>
      <c r="K11" s="61"/>
    </row>
    <row r="12" spans="3:13" x14ac:dyDescent="0.25">
      <c r="C12" s="28" t="s">
        <v>138</v>
      </c>
      <c r="D12" s="29" t="s">
        <v>180</v>
      </c>
      <c r="E12" s="18"/>
      <c r="H12" s="28" t="s">
        <v>11</v>
      </c>
      <c r="I12" s="22"/>
      <c r="J12" s="62"/>
      <c r="K12" s="63"/>
    </row>
    <row r="13" spans="3:13" x14ac:dyDescent="0.25">
      <c r="C13" s="28" t="s">
        <v>139</v>
      </c>
      <c r="D13" s="29" t="s">
        <v>172</v>
      </c>
      <c r="E13" s="18"/>
      <c r="H13" s="37" t="s">
        <v>12</v>
      </c>
      <c r="I13" s="31"/>
      <c r="J13" s="64"/>
      <c r="K13" s="65"/>
    </row>
    <row r="14" spans="3:13" x14ac:dyDescent="0.25">
      <c r="C14" s="28" t="s">
        <v>140</v>
      </c>
      <c r="D14" s="29" t="s">
        <v>173</v>
      </c>
      <c r="E14" s="18"/>
      <c r="J14" s="19"/>
    </row>
    <row r="15" spans="3:13" x14ac:dyDescent="0.25">
      <c r="C15" s="28" t="s">
        <v>141</v>
      </c>
      <c r="D15" s="29" t="s">
        <v>174</v>
      </c>
      <c r="E15" s="18"/>
      <c r="J15" s="19"/>
    </row>
    <row r="16" spans="3:13" x14ac:dyDescent="0.25">
      <c r="C16" s="28" t="s">
        <v>142</v>
      </c>
      <c r="D16" s="29" t="s">
        <v>175</v>
      </c>
      <c r="E16" s="18"/>
      <c r="J16" s="19"/>
    </row>
    <row r="17" spans="2:11" x14ac:dyDescent="0.25">
      <c r="C17" s="28" t="s">
        <v>143</v>
      </c>
      <c r="D17" s="29" t="s">
        <v>176</v>
      </c>
      <c r="E17" s="18"/>
      <c r="J17" s="19"/>
    </row>
    <row r="18" spans="2:11" ht="15.75" thickBot="1" x14ac:dyDescent="0.3">
      <c r="C18" s="32" t="s">
        <v>144</v>
      </c>
      <c r="D18" s="33" t="s">
        <v>177</v>
      </c>
      <c r="E18" s="18"/>
      <c r="J18" s="19"/>
    </row>
    <row r="19" spans="2:11" x14ac:dyDescent="0.25">
      <c r="C19" s="28" t="s">
        <v>107</v>
      </c>
      <c r="D19" s="34"/>
      <c r="E19" s="18"/>
      <c r="I19" s="19"/>
      <c r="J19" s="19"/>
    </row>
    <row r="20" spans="2:11" x14ac:dyDescent="0.25">
      <c r="C20" s="28" t="s">
        <v>108</v>
      </c>
      <c r="D20" s="36"/>
      <c r="E20" s="18"/>
      <c r="I20" s="19"/>
      <c r="J20" s="19"/>
    </row>
    <row r="21" spans="2:11" x14ac:dyDescent="0.25">
      <c r="C21" s="25" t="s">
        <v>109</v>
      </c>
      <c r="D21" s="36"/>
      <c r="E21" s="18"/>
      <c r="I21" s="19"/>
      <c r="J21" s="19"/>
    </row>
    <row r="22" spans="2:11" x14ac:dyDescent="0.25">
      <c r="C22" s="28" t="s">
        <v>110</v>
      </c>
      <c r="D22" s="34"/>
      <c r="E22" s="18"/>
      <c r="I22" s="19"/>
      <c r="J22" s="19"/>
    </row>
    <row r="23" spans="2:11" x14ac:dyDescent="0.25">
      <c r="C23" s="37" t="s">
        <v>134</v>
      </c>
      <c r="D23" s="38"/>
      <c r="E23" s="18"/>
      <c r="I23" s="19"/>
      <c r="J23" s="19"/>
    </row>
    <row r="24" spans="2:11" x14ac:dyDescent="0.25">
      <c r="C24" s="19"/>
      <c r="E24" s="18"/>
      <c r="I24" s="75" t="s">
        <v>98</v>
      </c>
      <c r="J24" s="75"/>
      <c r="K24" s="75"/>
    </row>
    <row r="25" spans="2:11" x14ac:dyDescent="0.25">
      <c r="B25" s="39" t="s">
        <v>13</v>
      </c>
      <c r="C25" s="76" t="s">
        <v>14</v>
      </c>
      <c r="D25" s="76"/>
      <c r="E25" s="40" t="s">
        <v>15</v>
      </c>
      <c r="F25" s="40" t="s">
        <v>118</v>
      </c>
      <c r="G25" s="40" t="s">
        <v>119</v>
      </c>
      <c r="H25" s="40" t="s">
        <v>120</v>
      </c>
      <c r="I25" s="41" t="s">
        <v>121</v>
      </c>
      <c r="J25" s="41" t="s">
        <v>122</v>
      </c>
      <c r="K25" s="41" t="s">
        <v>123</v>
      </c>
    </row>
    <row r="26" spans="2:11" x14ac:dyDescent="0.25">
      <c r="B26" s="42">
        <v>1</v>
      </c>
      <c r="C26" s="74"/>
      <c r="D26" s="74"/>
      <c r="E26" s="43"/>
      <c r="F26" s="44"/>
      <c r="G26" s="54"/>
      <c r="H26" s="46"/>
      <c r="I26" s="57" t="str">
        <f t="shared" ref="I26" si="0">IF(E26*G26=0,"",E26*G26)</f>
        <v/>
      </c>
      <c r="J26" s="57" t="str">
        <f t="shared" ref="J26" si="1">IF(E26*G26=0,"",I26*H26)</f>
        <v/>
      </c>
      <c r="K26" s="57" t="str">
        <f t="shared" ref="K26" si="2">IF(E26*G26=0,"",I26+J26)</f>
        <v/>
      </c>
    </row>
    <row r="27" spans="2:11" x14ac:dyDescent="0.25">
      <c r="B27" s="42">
        <v>2</v>
      </c>
      <c r="C27" s="74"/>
      <c r="D27" s="74"/>
      <c r="E27" s="43"/>
      <c r="F27" s="44"/>
      <c r="G27" s="54"/>
      <c r="H27" s="46"/>
      <c r="I27" s="57" t="str">
        <f t="shared" ref="I27:I35" si="3">IF(E27*G27=0,"",E27*G27)</f>
        <v/>
      </c>
      <c r="J27" s="57" t="str">
        <f t="shared" ref="J27:J35" si="4">IF(E27*G27=0,"",I27*H27)</f>
        <v/>
      </c>
      <c r="K27" s="57" t="str">
        <f t="shared" ref="K27:K35" si="5">IF(E27*G27=0,"",I27+J27)</f>
        <v/>
      </c>
    </row>
    <row r="28" spans="2:11" x14ac:dyDescent="0.25">
      <c r="B28" s="42">
        <v>3</v>
      </c>
      <c r="C28" s="74"/>
      <c r="D28" s="74"/>
      <c r="E28" s="43"/>
      <c r="F28" s="44"/>
      <c r="G28" s="54"/>
      <c r="H28" s="46"/>
      <c r="I28" s="57" t="str">
        <f t="shared" si="3"/>
        <v/>
      </c>
      <c r="J28" s="57" t="str">
        <f t="shared" si="4"/>
        <v/>
      </c>
      <c r="K28" s="57" t="str">
        <f t="shared" si="5"/>
        <v/>
      </c>
    </row>
    <row r="29" spans="2:11" x14ac:dyDescent="0.25">
      <c r="B29" s="42">
        <v>4</v>
      </c>
      <c r="C29" s="74"/>
      <c r="D29" s="74"/>
      <c r="E29" s="43"/>
      <c r="F29" s="44"/>
      <c r="G29" s="54"/>
      <c r="H29" s="46"/>
      <c r="I29" s="57" t="str">
        <f t="shared" si="3"/>
        <v/>
      </c>
      <c r="J29" s="57" t="str">
        <f t="shared" si="4"/>
        <v/>
      </c>
      <c r="K29" s="57" t="str">
        <f t="shared" si="5"/>
        <v/>
      </c>
    </row>
    <row r="30" spans="2:11" x14ac:dyDescent="0.25">
      <c r="B30" s="42">
        <v>5</v>
      </c>
      <c r="C30" s="74"/>
      <c r="D30" s="74"/>
      <c r="E30" s="43"/>
      <c r="F30" s="44"/>
      <c r="G30" s="54"/>
      <c r="H30" s="45"/>
      <c r="I30" s="57" t="str">
        <f t="shared" si="3"/>
        <v/>
      </c>
      <c r="J30" s="57" t="str">
        <f t="shared" si="4"/>
        <v/>
      </c>
      <c r="K30" s="57" t="str">
        <f t="shared" si="5"/>
        <v/>
      </c>
    </row>
    <row r="31" spans="2:11" x14ac:dyDescent="0.25">
      <c r="B31" s="42">
        <v>6</v>
      </c>
      <c r="C31" s="74"/>
      <c r="D31" s="74"/>
      <c r="E31" s="43"/>
      <c r="F31" s="44"/>
      <c r="G31" s="54"/>
      <c r="H31" s="46"/>
      <c r="I31" s="57" t="str">
        <f t="shared" si="3"/>
        <v/>
      </c>
      <c r="J31" s="57" t="str">
        <f t="shared" si="4"/>
        <v/>
      </c>
      <c r="K31" s="57" t="str">
        <f t="shared" si="5"/>
        <v/>
      </c>
    </row>
    <row r="32" spans="2:11" x14ac:dyDescent="0.25">
      <c r="B32" s="42">
        <v>7</v>
      </c>
      <c r="C32" s="74"/>
      <c r="D32" s="74"/>
      <c r="E32" s="43"/>
      <c r="F32" s="44"/>
      <c r="G32" s="54"/>
      <c r="H32" s="46"/>
      <c r="I32" s="57" t="str">
        <f t="shared" si="3"/>
        <v/>
      </c>
      <c r="J32" s="57" t="str">
        <f t="shared" si="4"/>
        <v/>
      </c>
      <c r="K32" s="57" t="str">
        <f t="shared" si="5"/>
        <v/>
      </c>
    </row>
    <row r="33" spans="2:11" x14ac:dyDescent="0.25">
      <c r="B33" s="42">
        <v>8</v>
      </c>
      <c r="C33" s="74"/>
      <c r="D33" s="74"/>
      <c r="E33" s="43"/>
      <c r="F33" s="44"/>
      <c r="G33" s="54"/>
      <c r="H33" s="46"/>
      <c r="I33" s="57" t="str">
        <f t="shared" si="3"/>
        <v/>
      </c>
      <c r="J33" s="57" t="str">
        <f t="shared" si="4"/>
        <v/>
      </c>
      <c r="K33" s="57" t="str">
        <f t="shared" si="5"/>
        <v/>
      </c>
    </row>
    <row r="34" spans="2:11" x14ac:dyDescent="0.25">
      <c r="B34" s="42">
        <v>9</v>
      </c>
      <c r="C34" s="74"/>
      <c r="D34" s="74"/>
      <c r="E34" s="43"/>
      <c r="F34" s="44"/>
      <c r="G34" s="54"/>
      <c r="H34" s="46"/>
      <c r="I34" s="57" t="str">
        <f t="shared" si="3"/>
        <v/>
      </c>
      <c r="J34" s="57" t="str">
        <f t="shared" si="4"/>
        <v/>
      </c>
      <c r="K34" s="57" t="str">
        <f t="shared" si="5"/>
        <v/>
      </c>
    </row>
    <row r="35" spans="2:11" x14ac:dyDescent="0.25">
      <c r="B35" s="42">
        <v>10</v>
      </c>
      <c r="C35" s="74"/>
      <c r="D35" s="74"/>
      <c r="E35" s="43"/>
      <c r="F35" s="44"/>
      <c r="G35" s="54"/>
      <c r="H35" s="46"/>
      <c r="I35" s="57" t="str">
        <f t="shared" si="3"/>
        <v/>
      </c>
      <c r="J35" s="57" t="str">
        <f t="shared" si="4"/>
        <v/>
      </c>
      <c r="K35" s="57" t="str">
        <f t="shared" si="5"/>
        <v/>
      </c>
    </row>
    <row r="36" spans="2:11" x14ac:dyDescent="0.25">
      <c r="B36" s="21"/>
      <c r="C36" s="47"/>
      <c r="D36" s="21"/>
      <c r="E36" s="48"/>
      <c r="F36" s="49"/>
      <c r="G36" s="21"/>
      <c r="H36" s="21"/>
      <c r="I36" s="21"/>
      <c r="J36" s="50" t="s">
        <v>124</v>
      </c>
      <c r="K36" s="55" t="str">
        <f>IF(SUM(I26:I35)=0,"",SUM(I26:I35))</f>
        <v/>
      </c>
    </row>
    <row r="37" spans="2:11" x14ac:dyDescent="0.25">
      <c r="B37" s="21"/>
      <c r="C37" s="47"/>
      <c r="D37" s="21"/>
      <c r="E37" s="48"/>
      <c r="F37" s="49"/>
      <c r="G37" s="21"/>
      <c r="H37" s="21"/>
      <c r="I37" s="21"/>
      <c r="J37" s="50" t="s">
        <v>125</v>
      </c>
      <c r="K37" s="55" t="str">
        <f>IF(SUM(J26:J35)=0,"",SUM(J26:J35))</f>
        <v/>
      </c>
    </row>
    <row r="38" spans="2:11" ht="15.75" thickBot="1" x14ac:dyDescent="0.3">
      <c r="B38" s="21"/>
      <c r="C38" s="47"/>
      <c r="D38" s="21"/>
      <c r="E38" s="48"/>
      <c r="F38" s="49"/>
      <c r="G38" s="21"/>
      <c r="H38" s="21"/>
      <c r="I38" s="51"/>
      <c r="J38" s="52" t="s">
        <v>126</v>
      </c>
      <c r="K38" s="56" t="str">
        <f>IF(SUM(K26:K35)=0,"",SUM(K26:K35))</f>
        <v/>
      </c>
    </row>
    <row r="39" spans="2:11" ht="15.75" thickTop="1" x14ac:dyDescent="0.25">
      <c r="D39" s="21"/>
    </row>
    <row r="40" spans="2:11" x14ac:dyDescent="0.25">
      <c r="D40" s="21"/>
    </row>
    <row r="41" spans="2:11" x14ac:dyDescent="0.25">
      <c r="D41" s="21"/>
    </row>
    <row r="42" spans="2:11" x14ac:dyDescent="0.25">
      <c r="D42" s="21"/>
    </row>
  </sheetData>
  <mergeCells count="22">
    <mergeCell ref="C29:D29"/>
    <mergeCell ref="C30:D30"/>
    <mergeCell ref="I24:K24"/>
    <mergeCell ref="C25:D25"/>
    <mergeCell ref="C26:D26"/>
    <mergeCell ref="C27:D27"/>
    <mergeCell ref="C28:D28"/>
    <mergeCell ref="C31:D31"/>
    <mergeCell ref="C32:D32"/>
    <mergeCell ref="C33:D33"/>
    <mergeCell ref="C34:D34"/>
    <mergeCell ref="C35:D35"/>
    <mergeCell ref="J11:K11"/>
    <mergeCell ref="J12:K12"/>
    <mergeCell ref="J13:K13"/>
    <mergeCell ref="J3:K3"/>
    <mergeCell ref="J4:K4"/>
    <mergeCell ref="J5:K5"/>
    <mergeCell ref="J6:K6"/>
    <mergeCell ref="J7:K7"/>
    <mergeCell ref="J8:K8"/>
    <mergeCell ref="J9:K9"/>
  </mergeCells>
  <conditionalFormatting sqref="J5">
    <cfRule type="cellIs" dxfId="12" priority="21" operator="equal">
      <formula>""</formula>
    </cfRule>
  </conditionalFormatting>
  <conditionalFormatting sqref="J3">
    <cfRule type="cellIs" dxfId="11" priority="19" operator="equal">
      <formula>""</formula>
    </cfRule>
  </conditionalFormatting>
  <conditionalFormatting sqref="J4">
    <cfRule type="cellIs" dxfId="10" priority="18" operator="equal">
      <formula>""</formula>
    </cfRule>
  </conditionalFormatting>
  <conditionalFormatting sqref="J6">
    <cfRule type="cellIs" dxfId="9" priority="17" operator="equal">
      <formula>""</formula>
    </cfRule>
  </conditionalFormatting>
  <conditionalFormatting sqref="C26:C35">
    <cfRule type="expression" dxfId="8" priority="12">
      <formula>AND(ISBLANK(CELL("contents",INDIRECT(ADDRESS(ROW(), COLUMN())))),  OR(  NOT(ISBLANK(CELL("contents", INDIRECT(ADDRESS(ROW(), COLUMN()+1))))),  NOT(ISBLANK(CELL("contents", INDIRECT(ADDRESS(ROW(), COLUMN()+2))))),  NOT(ISBLANK(CELL("contents", INDIRECT(ADDRESS(ROW(), COLUMN()+3))))),  NOT((CELL("contents", INDIRECT(ADDRESS(ROW(), COLUMN()+4)))="")),  NOT((CELL("contents", INDIRECT(ADDRESS(ROW(), COLUMN()+5)))="")),  NOT((CELL("contents", INDIRECT(ADDRESS(ROW(), COLUMN()+6)))=""))))</formula>
    </cfRule>
  </conditionalFormatting>
  <conditionalFormatting sqref="E26:E35">
    <cfRule type="expression" dxfId="7" priority="11">
      <formula>AND(ISBLANK(CELL("contents",INDIRECT(ADDRESS(ROW(), COLUMN())))),  OR(  NOT(ISBLANK(CELL("contents", INDIRECT(ADDRESS(ROW(), COLUMN()-2))))),  NOT(ISBLANK(CELL("contents", INDIRECT(ADDRESS(ROW(), COLUMN()+1))))),  NOT(ISBLANK(CELL("contents", INDIRECT(ADDRESS(ROW(), COLUMN()+2))))),  NOT((CELL("contents", INDIRECT(ADDRESS(ROW(), COLUMN()+3)))="")),  NOT((CELL("contents", INDIRECT(ADDRESS(ROW(), COLUMN()+4)))="")),  NOT((CELL("contents", INDIRECT(ADDRESS(ROW(), COLUMN()+5)))=""))))</formula>
    </cfRule>
  </conditionalFormatting>
  <conditionalFormatting sqref="F26:F35">
    <cfRule type="expression" dxfId="6" priority="10">
      <formula>AND(ISBLANK(CELL("contents",INDIRECT(ADDRESS(ROW(), COLUMN())))),  OR(  NOT(ISBLANK(CELL("contents", INDIRECT(ADDRESS(ROW(), COLUMN()-3))))),  NOT(ISBLANK(CELL("contents", INDIRECT(ADDRESS(ROW(), COLUMN()-2))))),  NOT(ISBLANK(CELL("contents", INDIRECT(ADDRESS(ROW(), COLUMN()+1))))),  NOT((CELL("contents", INDIRECT(ADDRESS(ROW(), COLUMN()+2)))="")),  NOT((CELL("contents", INDIRECT(ADDRESS(ROW(), COLUMN()+3)))="")),  NOT((CELL("contents", INDIRECT(ADDRESS(ROW(), COLUMN()+4)))=""))))</formula>
    </cfRule>
  </conditionalFormatting>
  <conditionalFormatting sqref="G26:G35">
    <cfRule type="expression" dxfId="5" priority="9">
      <formula>AND(ISBLANK(CELL("contents",INDIRECT(ADDRESS(ROW(), COLUMN())))),  OR(  NOT(ISBLANK(CELL("contents", INDIRECT(ADDRESS(ROW(), COLUMN()-2))))),  NOT(ISBLANK(CELL("contents", INDIRECT(ADDRESS(ROW(), COLUMN()-3))))),  NOT(ISBLANK(CELL("contents", INDIRECT(ADDRESS(ROW(), COLUMN()-4))))),  NOT((CELL("contents", INDIRECT(ADDRESS(ROW(), COLUMN()+1)))="")),  NOT((CELL("contents", INDIRECT(ADDRESS(ROW(), COLUMN()+2)))="")),  NOT((CELL("contents", INDIRECT(ADDRESS(ROW(), COLUMN()+3)))=""))))</formula>
    </cfRule>
  </conditionalFormatting>
  <conditionalFormatting sqref="K36:K38">
    <cfRule type="cellIs" dxfId="4" priority="5" operator="equal">
      <formula>""</formula>
    </cfRule>
  </conditionalFormatting>
  <conditionalFormatting sqref="H26:H35">
    <cfRule type="expression" dxfId="3" priority="4">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I26:I35">
    <cfRule type="expression" dxfId="2" priority="3">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J26:J35">
    <cfRule type="expression" dxfId="1" priority="2">
      <formula>AND(CELL("contents",INDIRECT(ADDRESS(ROW(), COLUMN())))="",  OR(  NOT(CELL("contents", INDIRECT(ADDRESS(ROW(), COLUMN()+1)))=""),  NOT(CELL("contents", INDIRECT(ADDRESS(ROW(), COLUMN()-2)))=""),  NOT(ISBLANK(CELL("contents", INDIRECT(ADDRESS(ROW(), COLUMN()-3))))),  NOT(ISBLANK(CELL("contents", INDIRECT(ADDRESS(ROW(), COLUMN()-4))))),  NOT(ISBLANK(CELL("contents", INDIRECT(ADDRESS(ROW(), COLUMN()-5))))),  NOT(ISBLANK(CELL("contents", INDIRECT(ADDRESS(ROW(), COLUMN()-6)))))))</formula>
    </cfRule>
  </conditionalFormatting>
  <conditionalFormatting sqref="K26:K35">
    <cfRule type="expression" dxfId="0" priority="1">
      <formula>AND(CELL("contents",INDIRECT(ADDRESS(ROW(), COLUMN())))="",  OR(  NOT(CELL("contents", INDIRECT(ADDRESS(ROW(), COLUMN()-2)))=""),  NOT(CELL("contents", INDIRECT(ADDRESS(ROW(), COLUMN()-3)))=""),  NOT(ISBLANK(CELL("contents", INDIRECT(ADDRESS(ROW(), COLUMN()-4))))),  NOT(ISBLANK(CELL("contents", INDIRECT(ADDRESS(ROW(), COLUMN()-5))))),  NOT(ISBLANK(CELL("contents", INDIRECT(ADDRESS(ROW(), COLUMN()-6))))),  NOT(ISBLANK(CELL("contents", INDIRECT(ADDRESS(ROW(), COLUMN()-7)))))))</formula>
    </cfRule>
  </conditionalFormatting>
  <dataValidations count="15">
    <dataValidation type="textLength" allowBlank="1" showInputMessage="1" showErrorMessage="1" error="expected result:_x000a_Mandatory Field, Text, Value between 1 to 50 symbols" prompt="Mandatory Field, Text, Value between 1 to 50 symbols" sqref="J4">
      <formula1>1</formula1>
      <formula2>50</formula2>
    </dataValidation>
    <dataValidation type="textLength" showInputMessage="1" showErrorMessage="1" error="expected result:_x000a_Mandatory Field, Text, Value between 1 to 100 symbols" prompt="Mandatory Field, Text, Value between 1 to 100 symbols" sqref="C26:C1048576">
      <formula1>1</formula1>
      <formula2>100</formula2>
    </dataValidation>
    <dataValidation type="textLength" allowBlank="1" showInputMessage="1" showErrorMessage="1" error="expected result:_x000a_Text, Value between 0 to 100 symbols" prompt="Text, Value between 0 to 100 symbols" sqref="D3:D5 D9 D19:D23">
      <formula1>0</formula1>
      <formula2>100</formula2>
    </dataValidation>
    <dataValidation type="textLength" allowBlank="1" showInputMessage="1" showErrorMessage="1" error="expected result:_x000a_Text, Value between 0 to 40 symbols" prompt="Text, Value between 0 to 40 symbols" sqref="D6 D8 D10:D18">
      <formula1>0</formula1>
      <formula2>40</formula2>
    </dataValidation>
    <dataValidation type="textLength" allowBlank="1" showInputMessage="1" showErrorMessage="1" error="expected result:_x000a_Text, Value between 0 to 60 symbols" prompt="Text, Value between 0 to 60 symbols" sqref="D7">
      <formula1>0</formula1>
      <formula2>60</formula2>
    </dataValidation>
    <dataValidation type="textLength" allowBlank="1" showInputMessage="1" showErrorMessage="1" error="expected result:_x000a_Text, Value between 0 to 16 symbols" prompt="Text, Value between 0 to 16 symbols" sqref="J12">
      <formula1>0</formula1>
      <formula2>16</formula2>
    </dataValidation>
    <dataValidation type="textLength" allowBlank="1" showInputMessage="1" showErrorMessage="1" error="expected result:_x000a_Text, Value between 0 to 8 symbols" prompt="Text, Value between 0 to 8 symbols" sqref="J13">
      <formula1>0</formula1>
      <formula2>8</formula2>
    </dataValidation>
    <dataValidation type="textLength" allowBlank="1" showInputMessage="1" showErrorMessage="1" error="expected result:_x000a_Text, Value between 0 to 50 symbols" prompt="Text, Value between 0 to 50 symbols" sqref="J7">
      <formula1>0</formula1>
      <formula2>50</formula2>
    </dataValidation>
    <dataValidation type="textLength" allowBlank="1" showInputMessage="1" showErrorMessage="1" error="exepted result:_x000a_Text, Value between 0 to 100 symbols" prompt="Text, Value between 0 to 100 symbols" sqref="J8">
      <formula1>0</formula1>
      <formula2>100</formula2>
    </dataValidation>
    <dataValidation type="date" operator="notEqual" allowBlank="1" showInputMessage="1" showErrorMessage="1" error="expected reuslt:_x000a_Date format  DD/MM/YYYY or  DD.MM.YYYY" prompt="Date format  DD/MM/YYYY or  DD.MM.YYYY" sqref="J9">
      <formula1>401769</formula1>
    </dataValidation>
    <dataValidation type="date" operator="notEqual" showInputMessage="1" showErrorMessage="1" error="expected reuslt:_x000a_Date format  DD/MM/YYYY or  DD.MM.YYYY" prompt="Date format DD/MM/YYYY or  DD.MM.YYYY" sqref="J5:J6">
      <formula1>401769</formula1>
    </dataValidation>
    <dataValidation type="decimal" showInputMessage="1" showErrorMessage="1" error="expected result:_x000a_Mandatory Field, Double, Value between 0,0 to 999999,0" prompt="Mandatory Field, Double, Value between 0,0 to 999999,0" sqref="E26:E38 D43:D1048576">
      <formula1>0</formula1>
      <formula2>999999</formula2>
    </dataValidation>
    <dataValidation type="textLength" showInputMessage="1" showErrorMessage="1" error="expected result:_x000a_Mandatory Field, Text, Value between 1 to 50 symbols" prompt="Mandatory Field, Text, Value between 1 to 50 symbols" sqref="E39:E1048576 F26:F38">
      <formula1>1</formula1>
      <formula2>50</formula2>
    </dataValidation>
    <dataValidation type="decimal" showInputMessage="1" showErrorMessage="1" error="expected result:_x000a_Mandatory Field, Currency, Value between 0 to 9999999,00" prompt="Mandatory Field, Currency, Value between 0 to 9999999,00" sqref="F39:G1048576 G26:G38 I26:I38">
      <formula1>0</formula1>
      <formula2>9999999</formula2>
    </dataValidation>
    <dataValidation type="decimal" allowBlank="1" showInputMessage="1" showErrorMessage="1" errorTitle="Incorrect Value" error="Click &quot;Cancel&quot; and tryg again. Input percentage between 0 and 100" promptTitle="Mandatory field" prompt="Input percentage between 0 and 100" sqref="H26:H35">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ælg fra rullemenuen" error="Vælg enten &quot;Faktura&quot; eller &quot;Kreditnota&quot;." promptTitle="Select from list" prompt="Select &quot;Invoice&quot; or &quot;Credit Note&quot;.">
          <x14:formula1>
            <xm:f>Lists!$A$2:$A$3</xm:f>
          </x14:formula1>
          <xm:sqref>J3:K3</xm:sqref>
        </x14:dataValidation>
        <x14:dataValidation type="list" allowBlank="1" showInputMessage="1" showErrorMessage="1" errorTitle="Vælg fra listen" error="Du kan kun vælge blandt FIK typer fra listen." promptTitle="Select from list" prompt="Select FIK Type from the list.">
          <x14:formula1>
            <xm:f>Lists!$C$2:$C$7</xm:f>
          </x14:formula1>
          <xm:sqref>J11:K11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7"/>
  <sheetViews>
    <sheetView workbookViewId="0"/>
  </sheetViews>
  <sheetFormatPr defaultRowHeight="15" x14ac:dyDescent="0.25"/>
  <cols>
    <col min="1" max="1" bestFit="true" customWidth="true" width="12.42578125" collapsed="true"/>
  </cols>
  <sheetData>
    <row r="1" spans="1:5" x14ac:dyDescent="0.25">
      <c r="A1" s="12" t="s">
        <v>93</v>
      </c>
      <c r="C1" s="12" t="s">
        <v>94</v>
      </c>
      <c r="E1" s="12" t="s">
        <v>95</v>
      </c>
    </row>
    <row r="2" spans="1:5" x14ac:dyDescent="0.25">
      <c r="A2" s="13" t="s">
        <v>129</v>
      </c>
      <c r="C2" s="14" t="str">
        <f>"01"</f>
        <v>01</v>
      </c>
      <c r="E2" s="13"/>
    </row>
    <row r="3" spans="1:5" x14ac:dyDescent="0.25">
      <c r="A3" s="13" t="s">
        <v>130</v>
      </c>
      <c r="C3" s="14" t="str">
        <f>"04"</f>
        <v>04</v>
      </c>
      <c r="E3" s="13" t="s">
        <v>96</v>
      </c>
    </row>
    <row r="4" spans="1:5" x14ac:dyDescent="0.25">
      <c r="C4" s="13">
        <v>15</v>
      </c>
      <c r="E4" s="13" t="s">
        <v>97</v>
      </c>
    </row>
    <row r="5" spans="1:5" x14ac:dyDescent="0.25">
      <c r="C5" s="13">
        <v>71</v>
      </c>
    </row>
    <row r="6" spans="1:5" x14ac:dyDescent="0.25">
      <c r="C6" s="13">
        <v>73</v>
      </c>
    </row>
    <row r="7" spans="1:5" x14ac:dyDescent="0.25">
      <c r="C7" s="13">
        <v>75</v>
      </c>
    </row>
  </sheetData>
  <pageMargins left="0.7" right="0.7" top="0.75" bottom="0.75" header="0.3" footer="0.3"/>
</worksheet>
</file>

<file path=xl/worksheets/sheet4.xml><?xml version="1.0" encoding="utf-8"?>
<worksheet xmlns="http://schemas.openxmlformats.org/spreadsheetml/2006/main">
  <dimension ref="A1"/>
  <sheetViews>
    <sheetView workbookViewId="0"/>
  </sheetViews>
  <sheetFormatPr defaultRowHeight="15.0"/>
  <sheetData>
    <row r="1">
      <c r="A1" t="s">
        <v>181</v>
      </c>
      <c r="B1" t="s">
        <v>182</v>
      </c>
      <c r="C1" t="s">
        <v>183</v>
      </c>
      <c r="D1" t="s">
        <v>184</v>
      </c>
      <c r="E1" t="s">
        <v>185</v>
      </c>
      <c r="F1" t="s">
        <v>186</v>
      </c>
      <c r="G1" t="s">
        <v>187</v>
      </c>
      <c r="H1" t="s">
        <v>188</v>
      </c>
      <c r="I1" t="s">
        <v>189</v>
      </c>
      <c r="J1" t="s">
        <v>190</v>
      </c>
      <c r="K1" t="s">
        <v>191</v>
      </c>
      <c r="L1" t="s">
        <v>167</v>
      </c>
      <c r="M1" t="s">
        <v>192</v>
      </c>
      <c r="N1" t="s">
        <v>193</v>
      </c>
      <c r="O1" t="s">
        <v>194</v>
      </c>
      <c r="P1" t="s">
        <v>195</v>
      </c>
      <c r="Q1" t="s">
        <v>196</v>
      </c>
      <c r="R1" t="s">
        <v>197</v>
      </c>
      <c r="S1" t="s">
        <v>198</v>
      </c>
      <c r="T1" t="s">
        <v>199</v>
      </c>
    </row>
    <row r="3">
      <c r="A3" t="s">
        <v>200</v>
      </c>
      <c r="B3" t="s">
        <v>202</v>
      </c>
      <c r="C3" t="s">
        <v>204</v>
      </c>
      <c r="D3" t="s">
        <v>206</v>
      </c>
      <c r="E3" t="s">
        <v>208</v>
      </c>
      <c r="F3" t="s">
        <v>210</v>
      </c>
      <c r="G3" t="s">
        <v>212</v>
      </c>
      <c r="H3" t="s">
        <v>214</v>
      </c>
      <c r="I3" t="s">
        <v>216</v>
      </c>
      <c r="J3" t="s">
        <v>218</v>
      </c>
      <c r="K3" t="s">
        <v>220</v>
      </c>
      <c r="L3" t="s">
        <v>222</v>
      </c>
      <c r="M3" t="s">
        <v>224</v>
      </c>
      <c r="N3" t="s">
        <v>199</v>
      </c>
    </row>
    <row r="4">
      <c r="A4" t="s">
        <v>201</v>
      </c>
      <c r="B4" t="s">
        <v>203</v>
      </c>
      <c r="C4" t="s">
        <v>205</v>
      </c>
      <c r="D4" t="s">
        <v>207</v>
      </c>
      <c r="E4" t="s">
        <v>209</v>
      </c>
      <c r="F4" t="s">
        <v>211</v>
      </c>
      <c r="G4" t="s">
        <v>213</v>
      </c>
      <c r="H4" t="s">
        <v>215</v>
      </c>
      <c r="I4" t="s">
        <v>217</v>
      </c>
      <c r="J4" t="s">
        <v>219</v>
      </c>
      <c r="K4" t="s">
        <v>221</v>
      </c>
      <c r="L4" t="s">
        <v>223</v>
      </c>
      <c r="M4" t="s">
        <v>225</v>
      </c>
      <c r="N4" t="s">
        <v>226</v>
      </c>
    </row>
    <row r="5">
      <c r="A5" t="s">
        <v>227</v>
      </c>
      <c r="B5" t="s">
        <v>229</v>
      </c>
      <c r="C5" t="s">
        <v>231</v>
      </c>
      <c r="D5" t="s">
        <v>233</v>
      </c>
      <c r="E5" t="s">
        <v>199</v>
      </c>
    </row>
    <row r="6">
      <c r="A6" t="s">
        <v>228</v>
      </c>
      <c r="B6" t="s">
        <v>230</v>
      </c>
      <c r="C6" t="s">
        <v>232</v>
      </c>
      <c r="D6" t="s">
        <v>234</v>
      </c>
      <c r="E6" t="s">
        <v>235</v>
      </c>
    </row>
    <row r="7">
      <c r="A7" t="s">
        <v>236</v>
      </c>
      <c r="B7" t="s">
        <v>238</v>
      </c>
      <c r="C7" t="s">
        <v>240</v>
      </c>
      <c r="D7" t="s">
        <v>242</v>
      </c>
      <c r="E7" t="s">
        <v>244</v>
      </c>
      <c r="F7" t="s">
        <v>199</v>
      </c>
    </row>
    <row r="8">
      <c r="A8" t="s">
        <v>237</v>
      </c>
      <c r="B8" t="s">
        <v>239</v>
      </c>
      <c r="C8" t="s">
        <v>241</v>
      </c>
      <c r="D8" t="s">
        <v>243</v>
      </c>
      <c r="E8" t="s">
        <v>245</v>
      </c>
      <c r="F8" t="s">
        <v>246</v>
      </c>
    </row>
    <row r="9">
      <c r="A9" t="s">
        <v>247</v>
      </c>
      <c r="B9" t="s">
        <v>249</v>
      </c>
      <c r="C9" t="s">
        <v>251</v>
      </c>
      <c r="D9" t="s">
        <v>253</v>
      </c>
      <c r="E9" t="s">
        <v>255</v>
      </c>
      <c r="F9" t="s">
        <v>257</v>
      </c>
      <c r="G9" t="s">
        <v>259</v>
      </c>
      <c r="H9" t="s">
        <v>261</v>
      </c>
      <c r="I9" t="s">
        <v>263</v>
      </c>
      <c r="J9" t="s">
        <v>265</v>
      </c>
      <c r="K9" t="s">
        <v>199</v>
      </c>
    </row>
    <row r="10">
      <c r="A10" t="s">
        <v>248</v>
      </c>
      <c r="B10" t="s">
        <v>250</v>
      </c>
      <c r="C10" t="s">
        <v>252</v>
      </c>
      <c r="D10" t="s">
        <v>254</v>
      </c>
      <c r="E10" t="s">
        <v>256</v>
      </c>
      <c r="F10" t="s">
        <v>258</v>
      </c>
      <c r="G10" t="s">
        <v>260</v>
      </c>
      <c r="H10" t="s">
        <v>262</v>
      </c>
      <c r="I10" t="s">
        <v>264</v>
      </c>
      <c r="J10" t="s">
        <v>266</v>
      </c>
      <c r="K10" t="s">
        <v>267</v>
      </c>
    </row>
    <row r="11">
      <c r="A11" t="s">
        <v>268</v>
      </c>
      <c r="B11" t="s">
        <v>270</v>
      </c>
      <c r="C11" t="s">
        <v>272</v>
      </c>
      <c r="D11" t="s">
        <v>274</v>
      </c>
      <c r="E11" t="s">
        <v>199</v>
      </c>
    </row>
    <row r="12">
      <c r="A12" t="s">
        <v>269</v>
      </c>
      <c r="B12" t="s">
        <v>271</v>
      </c>
      <c r="C12" t="s">
        <v>273</v>
      </c>
      <c r="D12" t="s">
        <v>275</v>
      </c>
      <c r="E12" t="s">
        <v>276</v>
      </c>
    </row>
    <row r="13">
      <c r="A13" t="s">
        <v>277</v>
      </c>
      <c r="B13" t="s">
        <v>279</v>
      </c>
      <c r="C13" t="s">
        <v>281</v>
      </c>
      <c r="D13" t="s">
        <v>283</v>
      </c>
      <c r="E13" t="s">
        <v>285</v>
      </c>
      <c r="F13" t="s">
        <v>287</v>
      </c>
      <c r="G13" t="s">
        <v>289</v>
      </c>
      <c r="H13" t="s">
        <v>291</v>
      </c>
      <c r="I13" t="s">
        <v>293</v>
      </c>
      <c r="J13" t="s">
        <v>199</v>
      </c>
    </row>
    <row r="14">
      <c r="A14" t="s">
        <v>278</v>
      </c>
      <c r="B14" t="s">
        <v>280</v>
      </c>
      <c r="C14" t="s">
        <v>282</v>
      </c>
      <c r="D14" t="s">
        <v>284</v>
      </c>
      <c r="E14" t="s">
        <v>286</v>
      </c>
      <c r="F14" t="s">
        <v>288</v>
      </c>
      <c r="G14" t="s">
        <v>290</v>
      </c>
      <c r="H14" t="s">
        <v>292</v>
      </c>
      <c r="I14" t="s">
        <v>294</v>
      </c>
      <c r="J14" t="s">
        <v>295</v>
      </c>
    </row>
    <row r="15">
      <c r="A15" t="s">
        <v>296</v>
      </c>
      <c r="B15" t="s">
        <v>298</v>
      </c>
      <c r="C15" t="s">
        <v>300</v>
      </c>
      <c r="D15" t="s">
        <v>302</v>
      </c>
      <c r="E15" t="s">
        <v>304</v>
      </c>
      <c r="F15" t="s">
        <v>306</v>
      </c>
      <c r="G15" t="s">
        <v>308</v>
      </c>
      <c r="H15" t="s">
        <v>310</v>
      </c>
      <c r="I15" t="s">
        <v>312</v>
      </c>
      <c r="J15" t="s">
        <v>314</v>
      </c>
      <c r="K15" t="s">
        <v>316</v>
      </c>
      <c r="L15" t="s">
        <v>318</v>
      </c>
      <c r="M15" t="s">
        <v>320</v>
      </c>
      <c r="N15" t="s">
        <v>322</v>
      </c>
      <c r="O15" t="s">
        <v>324</v>
      </c>
      <c r="P15" t="s">
        <v>326</v>
      </c>
      <c r="Q15" t="s">
        <v>328</v>
      </c>
      <c r="R15" t="s">
        <v>330</v>
      </c>
      <c r="S15" t="s">
        <v>199</v>
      </c>
    </row>
    <row r="16">
      <c r="A16" t="s">
        <v>297</v>
      </c>
      <c r="B16" t="s">
        <v>299</v>
      </c>
      <c r="C16" t="s">
        <v>301</v>
      </c>
      <c r="D16" t="s">
        <v>303</v>
      </c>
      <c r="E16" t="s">
        <v>305</v>
      </c>
      <c r="F16" t="s">
        <v>307</v>
      </c>
      <c r="G16" t="s">
        <v>309</v>
      </c>
      <c r="H16" t="s">
        <v>311</v>
      </c>
      <c r="I16" t="s">
        <v>313</v>
      </c>
      <c r="J16" t="s">
        <v>315</v>
      </c>
      <c r="K16" t="s">
        <v>317</v>
      </c>
      <c r="L16" t="s">
        <v>319</v>
      </c>
      <c r="M16" t="s">
        <v>321</v>
      </c>
      <c r="N16" t="s">
        <v>323</v>
      </c>
      <c r="O16" t="s">
        <v>325</v>
      </c>
      <c r="P16" t="s">
        <v>327</v>
      </c>
      <c r="Q16" t="s">
        <v>329</v>
      </c>
      <c r="R16" t="s">
        <v>331</v>
      </c>
      <c r="S16" t="s">
        <v>332</v>
      </c>
    </row>
    <row r="17">
      <c r="A17" t="s">
        <v>333</v>
      </c>
      <c r="B17" t="s">
        <v>335</v>
      </c>
      <c r="C17" t="s">
        <v>337</v>
      </c>
      <c r="D17" t="s">
        <v>339</v>
      </c>
      <c r="E17" t="s">
        <v>341</v>
      </c>
      <c r="F17" t="s">
        <v>343</v>
      </c>
      <c r="G17" t="s">
        <v>345</v>
      </c>
      <c r="H17" t="s">
        <v>347</v>
      </c>
      <c r="I17" t="s">
        <v>349</v>
      </c>
      <c r="J17" t="s">
        <v>351</v>
      </c>
      <c r="K17" t="s">
        <v>353</v>
      </c>
      <c r="L17" t="s">
        <v>355</v>
      </c>
      <c r="M17" t="s">
        <v>357</v>
      </c>
      <c r="N17" t="s">
        <v>359</v>
      </c>
      <c r="O17" t="s">
        <v>361</v>
      </c>
      <c r="P17" t="s">
        <v>363</v>
      </c>
      <c r="Q17" t="s">
        <v>365</v>
      </c>
      <c r="R17" t="s">
        <v>367</v>
      </c>
      <c r="S17" t="s">
        <v>369</v>
      </c>
      <c r="T17" t="s">
        <v>371</v>
      </c>
      <c r="U17" t="s">
        <v>373</v>
      </c>
      <c r="V17" t="s">
        <v>375</v>
      </c>
      <c r="W17" t="s">
        <v>199</v>
      </c>
    </row>
    <row r="18">
      <c r="A18" t="s">
        <v>334</v>
      </c>
      <c r="B18" t="s">
        <v>336</v>
      </c>
      <c r="C18" t="s">
        <v>338</v>
      </c>
      <c r="D18" t="s">
        <v>340</v>
      </c>
      <c r="E18" t="s">
        <v>342</v>
      </c>
      <c r="F18" t="s">
        <v>344</v>
      </c>
      <c r="G18" t="s">
        <v>346</v>
      </c>
      <c r="H18" t="s">
        <v>348</v>
      </c>
      <c r="I18" t="s">
        <v>350</v>
      </c>
      <c r="J18" t="s">
        <v>352</v>
      </c>
      <c r="K18" t="s">
        <v>354</v>
      </c>
      <c r="L18" t="s">
        <v>356</v>
      </c>
      <c r="M18" t="s">
        <v>358</v>
      </c>
      <c r="N18" t="s">
        <v>360</v>
      </c>
      <c r="O18" t="s">
        <v>362</v>
      </c>
      <c r="P18" t="s">
        <v>364</v>
      </c>
      <c r="Q18" t="s">
        <v>366</v>
      </c>
      <c r="R18" t="s">
        <v>368</v>
      </c>
      <c r="S18" t="s">
        <v>370</v>
      </c>
      <c r="T18" t="s">
        <v>372</v>
      </c>
      <c r="U18" t="s">
        <v>374</v>
      </c>
      <c r="V18" t="s">
        <v>376</v>
      </c>
      <c r="W18" t="s">
        <v>377</v>
      </c>
    </row>
    <row r="19">
      <c r="A19" t="s">
        <v>378</v>
      </c>
      <c r="B19" t="s">
        <v>380</v>
      </c>
      <c r="C19" t="s">
        <v>382</v>
      </c>
      <c r="D19" t="s">
        <v>199</v>
      </c>
    </row>
    <row r="20">
      <c r="A20" t="s">
        <v>379</v>
      </c>
      <c r="B20" t="s">
        <v>381</v>
      </c>
      <c r="C20" t="s">
        <v>383</v>
      </c>
      <c r="D20" t="s">
        <v>384</v>
      </c>
    </row>
    <row r="21">
      <c r="A21" t="s">
        <v>385</v>
      </c>
      <c r="B21" t="s">
        <v>387</v>
      </c>
      <c r="C21" t="s">
        <v>389</v>
      </c>
      <c r="D21" t="s">
        <v>391</v>
      </c>
      <c r="E21" t="s">
        <v>393</v>
      </c>
      <c r="F21" t="s">
        <v>395</v>
      </c>
      <c r="G21" t="s">
        <v>397</v>
      </c>
      <c r="H21" t="s">
        <v>399</v>
      </c>
      <c r="I21" t="s">
        <v>401</v>
      </c>
      <c r="J21" t="s">
        <v>403</v>
      </c>
      <c r="K21" t="s">
        <v>405</v>
      </c>
      <c r="L21" t="s">
        <v>407</v>
      </c>
      <c r="M21" t="s">
        <v>409</v>
      </c>
      <c r="N21" t="s">
        <v>411</v>
      </c>
      <c r="O21" t="s">
        <v>199</v>
      </c>
    </row>
    <row r="22">
      <c r="A22" t="s">
        <v>386</v>
      </c>
      <c r="B22" t="s">
        <v>388</v>
      </c>
      <c r="C22" t="s">
        <v>390</v>
      </c>
      <c r="D22" t="s">
        <v>392</v>
      </c>
      <c r="E22" t="s">
        <v>394</v>
      </c>
      <c r="F22" t="s">
        <v>396</v>
      </c>
      <c r="G22" t="s">
        <v>398</v>
      </c>
      <c r="H22" t="s">
        <v>400</v>
      </c>
      <c r="I22" t="s">
        <v>402</v>
      </c>
      <c r="J22" t="s">
        <v>404</v>
      </c>
      <c r="K22" t="s">
        <v>406</v>
      </c>
      <c r="L22" t="s">
        <v>408</v>
      </c>
      <c r="M22" t="s">
        <v>410</v>
      </c>
      <c r="N22" t="s">
        <v>412</v>
      </c>
      <c r="O22" t="s">
        <v>413</v>
      </c>
    </row>
    <row r="23">
      <c r="A23" t="s">
        <v>414</v>
      </c>
      <c r="B23" t="s">
        <v>416</v>
      </c>
      <c r="C23" t="s">
        <v>418</v>
      </c>
      <c r="D23" t="s">
        <v>420</v>
      </c>
      <c r="E23" t="s">
        <v>422</v>
      </c>
      <c r="F23" t="s">
        <v>424</v>
      </c>
      <c r="G23" t="s">
        <v>199</v>
      </c>
    </row>
    <row r="24">
      <c r="A24" t="s">
        <v>415</v>
      </c>
      <c r="B24" t="s">
        <v>417</v>
      </c>
      <c r="C24" t="s">
        <v>419</v>
      </c>
      <c r="D24" t="s">
        <v>421</v>
      </c>
      <c r="E24" t="s">
        <v>423</v>
      </c>
      <c r="F24" t="s">
        <v>425</v>
      </c>
      <c r="G24" t="s">
        <v>426</v>
      </c>
    </row>
    <row r="25">
      <c r="A25" t="s">
        <v>427</v>
      </c>
      <c r="B25" t="s">
        <v>429</v>
      </c>
      <c r="C25" t="s">
        <v>431</v>
      </c>
      <c r="D25" t="s">
        <v>168</v>
      </c>
      <c r="E25" t="s">
        <v>434</v>
      </c>
      <c r="F25" t="s">
        <v>199</v>
      </c>
    </row>
    <row r="26">
      <c r="A26" t="s">
        <v>428</v>
      </c>
      <c r="B26" t="s">
        <v>430</v>
      </c>
      <c r="C26" t="s">
        <v>432</v>
      </c>
      <c r="D26" t="s">
        <v>433</v>
      </c>
      <c r="E26" t="s">
        <v>435</v>
      </c>
      <c r="F26" t="s">
        <v>436</v>
      </c>
    </row>
    <row r="27">
      <c r="A27" t="s">
        <v>437</v>
      </c>
      <c r="B27" t="s">
        <v>439</v>
      </c>
      <c r="C27" t="s">
        <v>441</v>
      </c>
      <c r="D27" t="s">
        <v>443</v>
      </c>
      <c r="E27" t="s">
        <v>445</v>
      </c>
      <c r="F27" t="s">
        <v>447</v>
      </c>
      <c r="G27" t="s">
        <v>449</v>
      </c>
      <c r="H27" t="s">
        <v>451</v>
      </c>
      <c r="I27" t="s">
        <v>453</v>
      </c>
      <c r="J27" t="s">
        <v>199</v>
      </c>
    </row>
    <row r="28">
      <c r="A28" t="s">
        <v>438</v>
      </c>
      <c r="B28" t="s">
        <v>440</v>
      </c>
      <c r="C28" t="s">
        <v>442</v>
      </c>
      <c r="D28" t="s">
        <v>444</v>
      </c>
      <c r="E28" t="s">
        <v>446</v>
      </c>
      <c r="F28" t="s">
        <v>448</v>
      </c>
      <c r="G28" t="s">
        <v>450</v>
      </c>
      <c r="H28" t="s">
        <v>452</v>
      </c>
      <c r="I28" t="s">
        <v>454</v>
      </c>
      <c r="J28" t="s">
        <v>455</v>
      </c>
    </row>
    <row r="29">
      <c r="A29" t="s">
        <v>199</v>
      </c>
    </row>
    <row r="30">
      <c r="A30" t="s">
        <v>456</v>
      </c>
    </row>
    <row r="31">
      <c r="A31" t="s">
        <v>457</v>
      </c>
      <c r="B31" t="s">
        <v>459</v>
      </c>
      <c r="C31" t="s">
        <v>461</v>
      </c>
      <c r="D31" t="s">
        <v>463</v>
      </c>
      <c r="E31" t="s">
        <v>170</v>
      </c>
      <c r="F31" t="s">
        <v>466</v>
      </c>
      <c r="G31" t="s">
        <v>468</v>
      </c>
      <c r="H31" t="s">
        <v>470</v>
      </c>
      <c r="I31" t="s">
        <v>199</v>
      </c>
    </row>
    <row r="32">
      <c r="A32" t="s">
        <v>458</v>
      </c>
      <c r="B32" t="s">
        <v>460</v>
      </c>
      <c r="C32" t="s">
        <v>462</v>
      </c>
      <c r="D32" t="s">
        <v>464</v>
      </c>
      <c r="E32" t="s">
        <v>465</v>
      </c>
      <c r="F32" t="s">
        <v>467</v>
      </c>
      <c r="G32" t="s">
        <v>469</v>
      </c>
      <c r="H32" t="s">
        <v>471</v>
      </c>
      <c r="I32" t="s">
        <v>472</v>
      </c>
    </row>
    <row r="33">
      <c r="A33" t="s">
        <v>473</v>
      </c>
      <c r="B33" t="s">
        <v>475</v>
      </c>
      <c r="C33" t="s">
        <v>477</v>
      </c>
      <c r="D33" t="s">
        <v>479</v>
      </c>
      <c r="E33" t="s">
        <v>481</v>
      </c>
      <c r="F33" t="s">
        <v>483</v>
      </c>
      <c r="G33" t="s">
        <v>199</v>
      </c>
    </row>
    <row r="34">
      <c r="A34" t="s">
        <v>474</v>
      </c>
      <c r="B34" t="s">
        <v>476</v>
      </c>
      <c r="C34" t="s">
        <v>478</v>
      </c>
      <c r="D34" t="s">
        <v>480</v>
      </c>
      <c r="E34" t="s">
        <v>482</v>
      </c>
      <c r="F34" t="s">
        <v>484</v>
      </c>
      <c r="G34" t="s">
        <v>485</v>
      </c>
    </row>
    <row r="35">
      <c r="A35" t="s">
        <v>486</v>
      </c>
      <c r="B35" t="s">
        <v>488</v>
      </c>
      <c r="C35" t="s">
        <v>490</v>
      </c>
      <c r="D35" t="s">
        <v>492</v>
      </c>
      <c r="E35" t="s">
        <v>494</v>
      </c>
      <c r="F35" t="s">
        <v>496</v>
      </c>
      <c r="G35" t="s">
        <v>498</v>
      </c>
      <c r="H35" t="s">
        <v>500</v>
      </c>
      <c r="I35" t="s">
        <v>502</v>
      </c>
      <c r="J35" t="s">
        <v>504</v>
      </c>
      <c r="K35" t="s">
        <v>506</v>
      </c>
      <c r="L35" t="s">
        <v>508</v>
      </c>
      <c r="M35" t="s">
        <v>510</v>
      </c>
      <c r="N35" t="s">
        <v>512</v>
      </c>
      <c r="O35" t="s">
        <v>514</v>
      </c>
      <c r="P35" t="s">
        <v>516</v>
      </c>
      <c r="Q35" t="s">
        <v>518</v>
      </c>
      <c r="R35" t="s">
        <v>520</v>
      </c>
      <c r="S35" t="s">
        <v>522</v>
      </c>
      <c r="T35" t="s">
        <v>524</v>
      </c>
      <c r="U35" t="s">
        <v>526</v>
      </c>
      <c r="V35" t="s">
        <v>528</v>
      </c>
      <c r="W35" t="s">
        <v>530</v>
      </c>
      <c r="X35" t="s">
        <v>532</v>
      </c>
      <c r="Y35" t="s">
        <v>534</v>
      </c>
      <c r="Z35" t="s">
        <v>536</v>
      </c>
      <c r="AA35" t="s">
        <v>538</v>
      </c>
      <c r="AB35" t="s">
        <v>540</v>
      </c>
      <c r="AC35" t="s">
        <v>542</v>
      </c>
      <c r="AD35" t="s">
        <v>544</v>
      </c>
      <c r="AE35" t="s">
        <v>546</v>
      </c>
      <c r="AF35" t="s">
        <v>199</v>
      </c>
    </row>
    <row r="36">
      <c r="A36" t="s">
        <v>487</v>
      </c>
      <c r="B36" t="s">
        <v>489</v>
      </c>
      <c r="C36" t="s">
        <v>491</v>
      </c>
      <c r="D36" t="s">
        <v>493</v>
      </c>
      <c r="E36" t="s">
        <v>495</v>
      </c>
      <c r="F36" t="s">
        <v>497</v>
      </c>
      <c r="G36" t="s">
        <v>499</v>
      </c>
      <c r="H36" t="s">
        <v>501</v>
      </c>
      <c r="I36" t="s">
        <v>503</v>
      </c>
      <c r="J36" t="s">
        <v>505</v>
      </c>
      <c r="K36" t="s">
        <v>507</v>
      </c>
      <c r="L36" t="s">
        <v>509</v>
      </c>
      <c r="M36" t="s">
        <v>511</v>
      </c>
      <c r="N36" t="s">
        <v>513</v>
      </c>
      <c r="O36" t="s">
        <v>515</v>
      </c>
      <c r="P36" t="s">
        <v>517</v>
      </c>
      <c r="Q36" t="s">
        <v>519</v>
      </c>
      <c r="R36" t="s">
        <v>521</v>
      </c>
      <c r="S36" t="s">
        <v>523</v>
      </c>
      <c r="T36" t="s">
        <v>525</v>
      </c>
      <c r="U36" t="s">
        <v>527</v>
      </c>
      <c r="V36" t="s">
        <v>529</v>
      </c>
      <c r="W36" t="s">
        <v>531</v>
      </c>
      <c r="X36" t="s">
        <v>533</v>
      </c>
      <c r="Y36" t="s">
        <v>535</v>
      </c>
      <c r="Z36" t="s">
        <v>537</v>
      </c>
      <c r="AA36" t="s">
        <v>539</v>
      </c>
      <c r="AB36" t="s">
        <v>541</v>
      </c>
      <c r="AC36" t="s">
        <v>543</v>
      </c>
      <c r="AD36" t="s">
        <v>545</v>
      </c>
      <c r="AE36" t="s">
        <v>547</v>
      </c>
      <c r="AF36" t="s">
        <v>548</v>
      </c>
    </row>
    <row r="37">
      <c r="A37" t="s">
        <v>549</v>
      </c>
      <c r="B37" t="s">
        <v>551</v>
      </c>
      <c r="C37" t="s">
        <v>553</v>
      </c>
      <c r="D37" t="s">
        <v>199</v>
      </c>
    </row>
    <row r="38">
      <c r="A38" t="s">
        <v>550</v>
      </c>
      <c r="B38" t="s">
        <v>552</v>
      </c>
      <c r="C38" t="s">
        <v>554</v>
      </c>
      <c r="D38" t="s">
        <v>555</v>
      </c>
    </row>
    <row r="39">
      <c r="A39" t="s">
        <v>183</v>
      </c>
      <c r="B39" t="s">
        <v>557</v>
      </c>
      <c r="C39" t="s">
        <v>559</v>
      </c>
      <c r="D39" t="s">
        <v>561</v>
      </c>
      <c r="E39" t="s">
        <v>563</v>
      </c>
      <c r="F39" t="s">
        <v>565</v>
      </c>
      <c r="G39" t="s">
        <v>567</v>
      </c>
      <c r="H39" t="s">
        <v>569</v>
      </c>
      <c r="I39" t="s">
        <v>199</v>
      </c>
    </row>
    <row r="40">
      <c r="A40" t="s">
        <v>556</v>
      </c>
      <c r="B40" t="s">
        <v>558</v>
      </c>
      <c r="C40" t="s">
        <v>560</v>
      </c>
      <c r="D40" t="s">
        <v>562</v>
      </c>
      <c r="E40" t="s">
        <v>564</v>
      </c>
      <c r="F40" t="s">
        <v>566</v>
      </c>
      <c r="G40" t="s">
        <v>568</v>
      </c>
      <c r="H40" t="s">
        <v>570</v>
      </c>
      <c r="I40" t="s">
        <v>571</v>
      </c>
    </row>
    <row r="41">
      <c r="A41" t="s">
        <v>199</v>
      </c>
    </row>
    <row r="42">
      <c r="A42" t="s">
        <v>572</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54</vt:i4>
      </vt:variant>
    </vt:vector>
  </HeadingPairs>
  <TitlesOfParts>
    <vt:vector size="57" baseType="lpstr">
      <vt:lpstr>Template</vt:lpstr>
      <vt:lpstr>Invoice</vt:lpstr>
      <vt:lpstr>Lists</vt:lpstr>
      <vt:lpstr>Template!ageMonths</vt:lpstr>
      <vt:lpstr>Template!ageYears</vt:lpstr>
      <vt:lpstr>Template!category</vt:lpstr>
      <vt:lpstr>Template!claimNumber</vt:lpstr>
      <vt:lpstr>Template!customerDemand</vt:lpstr>
      <vt:lpstr>Template!description</vt:lpstr>
      <vt:lpstr>Template!discretionaryValuation</vt:lpstr>
      <vt:lpstr>Template!insuranceCompanyName</vt:lpstr>
      <vt:lpstr>Invoice!invoiceBankAccountNumber</vt:lpstr>
      <vt:lpstr>Invoice!invoiceBankName</vt:lpstr>
      <vt:lpstr>Invoice!invoiceBankRegNumber</vt:lpstr>
      <vt:lpstr>Invoice!invoiceCreditNoteNumber</vt:lpstr>
      <vt:lpstr>Invoice!invoiceDate</vt:lpstr>
      <vt:lpstr>Invoice!invoiceDateOfValuation</vt:lpstr>
      <vt:lpstr>Invoice!invoiceDescription</vt:lpstr>
      <vt:lpstr>Invoice!invoiceFikCreditorCode</vt:lpstr>
      <vt:lpstr>Invoice!invoiceFikNumber</vt:lpstr>
      <vt:lpstr>Invoice!invoiceFikType</vt:lpstr>
      <vt:lpstr>Invoice!invoiceIbanNumber</vt:lpstr>
      <vt:lpstr>Invoice!invoiceLineIndex</vt:lpstr>
      <vt:lpstr>Invoice!invoiceLineTotal</vt:lpstr>
      <vt:lpstr>Invoice!invoiceNameOfValuationResponsible</vt:lpstr>
      <vt:lpstr>Invoice!invoiceNetAmount</vt:lpstr>
      <vt:lpstr>Invoice!invoiceNumber</vt:lpstr>
      <vt:lpstr>Invoice!invoicePaymentDueDate</vt:lpstr>
      <vt:lpstr>Invoice!invoiceQuantity</vt:lpstr>
      <vt:lpstr>Invoice!invoiceSepaAddress1</vt:lpstr>
      <vt:lpstr>Invoice!invoiceSepaAddress2</vt:lpstr>
      <vt:lpstr>Invoice!invoiceSepaCity</vt:lpstr>
      <vt:lpstr>Invoice!invoiceSepaCvr</vt:lpstr>
      <vt:lpstr>Invoice!invoiceSepaEmail</vt:lpstr>
      <vt:lpstr>Invoice!invoiceSepaId</vt:lpstr>
      <vt:lpstr>Invoice!invoiceSepaName</vt:lpstr>
      <vt:lpstr>Invoice!invoiceSepaPhone</vt:lpstr>
      <vt:lpstr>Invoice!invoiceSepaPostalCode</vt:lpstr>
      <vt:lpstr>Invoice!invoiceTotalAmount</vt:lpstr>
      <vt:lpstr>Invoice!invoiceType</vt:lpstr>
      <vt:lpstr>Invoice!invoiceUnitNetAmount</vt:lpstr>
      <vt:lpstr>Invoice!invoiceUnitPrice</vt:lpstr>
      <vt:lpstr>Invoice!invoiceUnits</vt:lpstr>
      <vt:lpstr>Invoice!invoiceUnitVatAmount</vt:lpstr>
      <vt:lpstr>Invoice!invoiceVat</vt:lpstr>
      <vt:lpstr>Template!lineGuid</vt:lpstr>
      <vt:lpstr>Template!lineIndex</vt:lpstr>
      <vt:lpstr>Template!newPrice</vt:lpstr>
      <vt:lpstr>Template!originalDescription</vt:lpstr>
      <vt:lpstr>Template!purchasePrice</vt:lpstr>
      <vt:lpstr>Template!quantity</vt:lpstr>
      <vt:lpstr>Template!repairEstimate</vt:lpstr>
      <vt:lpstr>Template!repairPrice</vt:lpstr>
      <vt:lpstr>Template!replyAddress</vt:lpstr>
      <vt:lpstr>Template!servicePartnerNote</vt:lpstr>
      <vt:lpstr>Template!subCategory</vt:lpstr>
      <vt:lpstr>Template!usedPrice</vt:lpstr>
    </vt:vector>
  </TitlesOfParts>
  <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2014-07-17T08:39:23Z</dcterms:created>
  <dc:creator>Igor Makarychev</dc:creator>
  <lastModifiedBy>Vladimir Tikhenko</lastModifiedBy>
  <dcterms:modified xsi:type="dcterms:W3CDTF">2015-07-13T10:25:14Z</dcterms:modified>
</coreProperties>
</file>