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G:\PROJECT\Selenium\src\main\resources\"/>
    </mc:Choice>
  </mc:AlternateContent>
  <bookViews>
    <workbookView xWindow="0" yWindow="0" windowWidth="25800" windowHeight="13650" tabRatio="403"/>
  </bookViews>
  <sheets>
    <sheet name="Template" sheetId="2" r:id="rId1"/>
    <sheet name="Invoice" sheetId="1" r:id="rId2"/>
    <sheet name="Lists" sheetId="3" r:id="rId3"/>
  </sheets>
  <definedNames>
    <definedName name="ageMonths" localSheetId="0">Template!$J$24</definedName>
    <definedName name="ageYears" localSheetId="0">Template!$K$24</definedName>
    <definedName name="category" localSheetId="0">Template!$F$24</definedName>
    <definedName name="claimNumber" localSheetId="0">Template!$C$16</definedName>
    <definedName name="claimSelfRisk" localSheetId="0">Template!$C$17</definedName>
    <definedName name="claimTakenSelfRisk" localSheetId="0">Template!$C$18</definedName>
    <definedName name="customerDemand" localSheetId="0">Template!$N$24</definedName>
    <definedName name="description" localSheetId="0">Template!$E$24</definedName>
    <definedName name="discretionaryValuation" localSheetId="0">Template!$O$24</definedName>
    <definedName name="insuranceCompanyName" localSheetId="0">Template!$C$14</definedName>
    <definedName name="invoiceBankAccountNumber" localSheetId="1">Invoice!$D$21</definedName>
    <definedName name="invoiceBankName" localSheetId="1">Invoice!$D$19</definedName>
    <definedName name="invoiceBankRegNumber" localSheetId="1">Invoice!$D$20</definedName>
    <definedName name="invoiceCreditNoteNumber" localSheetId="1">Invoice!$J$7</definedName>
    <definedName name="invoiceDate" localSheetId="1">Invoice!$J$5</definedName>
    <definedName name="invoiceDateOfValuation" localSheetId="1">Invoice!$J$9</definedName>
    <definedName name="invoiceDescription" localSheetId="1">Invoice!$C$25</definedName>
    <definedName name="invoiceFikCreditorCode" localSheetId="1">Invoice!$J$13</definedName>
    <definedName name="invoiceFikNumber" localSheetId="1">Invoice!$J$12</definedName>
    <definedName name="invoiceFikType" localSheetId="1">Invoice!$J$11</definedName>
    <definedName name="invoiceIbanNumber" localSheetId="1">Invoice!$D$22</definedName>
    <definedName name="invoiceLineIndex" localSheetId="1">Invoice!$B$25</definedName>
    <definedName name="invoiceLineTotal" localSheetId="1">Invoice!$K$25</definedName>
    <definedName name="invoiceNameOfValuationResponsible" localSheetId="1">Invoice!$J$8</definedName>
    <definedName name="invoiceNetAmount" localSheetId="1">Invoice!$K$36</definedName>
    <definedName name="invoiceNumber" localSheetId="1">Invoice!$J$4</definedName>
    <definedName name="invoicePaymentDueDate" localSheetId="1">Invoice!$J$6</definedName>
    <definedName name="invoiceQuantity" localSheetId="1">Invoice!$E$25</definedName>
    <definedName name="invoiceSepaAddress1" localSheetId="1">Invoice!$D$4</definedName>
    <definedName name="invoiceSepaAddress2" localSheetId="1">Invoice!$D$5</definedName>
    <definedName name="invoiceSepaCity" localSheetId="1">Invoice!$D$7</definedName>
    <definedName name="invoiceSepaCvr" localSheetId="1">Invoice!$D$10</definedName>
    <definedName name="invoiceSepaEmail" localSheetId="1">Invoice!$D$9</definedName>
    <definedName name="invoiceSepaId" localSheetId="1">Invoice!$D$1</definedName>
    <definedName name="invoiceSepaName" localSheetId="1">Invoice!$D$3</definedName>
    <definedName name="invoiceSepaPhone" localSheetId="1">Invoice!$D$8</definedName>
    <definedName name="invoiceSepaPostalCode" localSheetId="1">Invoice!$D$6</definedName>
    <definedName name="invoiceTotalAmount" localSheetId="1">Invoice!$K$38</definedName>
    <definedName name="invoiceType" localSheetId="1">Invoice!$J$3</definedName>
    <definedName name="invoiceUnitNetAmount" localSheetId="1">Invoice!$I$25</definedName>
    <definedName name="invoiceUnitPrice" localSheetId="1">Invoice!$G$25</definedName>
    <definedName name="invoiceUnits" localSheetId="1">Invoice!$F$25</definedName>
    <definedName name="invoiceUnitVatAmount" localSheetId="1">Invoice!$J$25</definedName>
    <definedName name="invoiceVat" localSheetId="1">Invoice!$K$37</definedName>
    <definedName name="lineGuid" localSheetId="0">Template!$B$24</definedName>
    <definedName name="lineIndex" localSheetId="0">Template!$A$24</definedName>
    <definedName name="newPrice" localSheetId="0">Template!$M$24</definedName>
    <definedName name="originalDescription" localSheetId="0">Template!$D$24</definedName>
    <definedName name="purchasePrice" localSheetId="0">Template!$L$24</definedName>
    <definedName name="quantity" localSheetId="0">Template!$H$24</definedName>
    <definedName name="repairEstimate" localSheetId="0">Template!$T$24</definedName>
    <definedName name="repairPrice" localSheetId="0">Template!$U$24</definedName>
    <definedName name="replyAddress" localSheetId="0">Template!$E$8</definedName>
    <definedName name="servicePartnerNote" localSheetId="0">Template!$X$24</definedName>
    <definedName name="subCategory" localSheetId="0">Template!$G$24</definedName>
    <definedName name="taskType" localSheetId="0">Template!$W$24</definedName>
    <definedName name="totalDamage" localSheetId="0">Template!$Y$24</definedName>
    <definedName name="usedPrice" localSheetId="0">Template!$P$24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 l="1"/>
  <c r="J27" i="1"/>
  <c r="K27" i="1"/>
  <c r="I28" i="1"/>
  <c r="J28" i="1"/>
  <c r="K28" i="1"/>
  <c r="I29" i="1"/>
  <c r="J29" i="1"/>
  <c r="K29" i="1"/>
  <c r="I30" i="1"/>
  <c r="J30" i="1"/>
  <c r="K30" i="1"/>
  <c r="I31" i="1"/>
  <c r="J31" i="1"/>
  <c r="K31" i="1"/>
  <c r="I32" i="1"/>
  <c r="J32" i="1"/>
  <c r="K32" i="1"/>
  <c r="I33" i="1"/>
  <c r="J33" i="1"/>
  <c r="K33" i="1"/>
  <c r="I34" i="1"/>
  <c r="J34" i="1"/>
  <c r="K34" i="1"/>
  <c r="I35" i="1"/>
  <c r="J35" i="1"/>
  <c r="K35" i="1"/>
  <c r="I26" i="1"/>
  <c r="J26" i="1" s="1"/>
  <c r="K26" i="1" l="1"/>
  <c r="C3" i="3" l="1"/>
  <c r="C2" i="3"/>
  <c r="K38" i="1" l="1"/>
  <c r="K36" i="1"/>
  <c r="K37" i="1"/>
</calcChain>
</file>

<file path=xl/sharedStrings.xml><?xml version="1.0" encoding="utf-8"?>
<sst xmlns="http://schemas.openxmlformats.org/spreadsheetml/2006/main" count="166" uniqueCount="164">
  <si>
    <t>Service Partner ID</t>
  </si>
  <si>
    <t>${servicePartner.id}</t>
  </si>
  <si>
    <t>${servicePartner.name}</t>
  </si>
  <si>
    <t>${servicePartner.address1}</t>
  </si>
  <si>
    <t>${servicePartner.address2}</t>
  </si>
  <si>
    <t>${servicePartner.postalCode}</t>
  </si>
  <si>
    <t>${servicePartner.city}</t>
  </si>
  <si>
    <t>${servicePartner.phone}</t>
  </si>
  <si>
    <t>${servicePartner.email}</t>
  </si>
  <si>
    <t>${servicePartner.cvrNumber}</t>
  </si>
  <si>
    <t>FIK Type:</t>
  </si>
  <si>
    <t>FIK Number:</t>
  </si>
  <si>
    <t>FIK Creditor Code:</t>
  </si>
  <si>
    <t>##</t>
  </si>
  <si>
    <t>Description</t>
  </si>
  <si>
    <t>Quantity</t>
  </si>
  <si>
    <t>Claimant</t>
  </si>
  <si>
    <t>Claimant Name</t>
  </si>
  <si>
    <t>${claimant.name}</t>
  </si>
  <si>
    <t>${replyAddress}</t>
  </si>
  <si>
    <t>Claimant Phone</t>
  </si>
  <si>
    <t>${claimant.phone}</t>
  </si>
  <si>
    <t>Claimant Mobile Phone</t>
  </si>
  <si>
    <t>${claimant.mobilePhone}</t>
  </si>
  <si>
    <t>Claimant Address 1</t>
  </si>
  <si>
    <t>${claimant.address1}</t>
  </si>
  <si>
    <t>Claimant Address 2</t>
  </si>
  <si>
    <t>${claimant.address2}</t>
  </si>
  <si>
    <t>Claimant Postal Code</t>
  </si>
  <si>
    <t>${claimant.postalCode}</t>
  </si>
  <si>
    <t>Claimant City</t>
  </si>
  <si>
    <t>${claimant.city}</t>
  </si>
  <si>
    <t>Claimant E-mail</t>
  </si>
  <si>
    <t>${claimant.email}</t>
  </si>
  <si>
    <t>Claim</t>
  </si>
  <si>
    <t>Insurance Company ID</t>
  </si>
  <si>
    <t>${claim.insuranceCompanyId}</t>
  </si>
  <si>
    <t>Insurance Company</t>
  </si>
  <si>
    <t>${claim.insuranceCompanyName}</t>
  </si>
  <si>
    <t>Claims Handler / Assessor name</t>
  </si>
  <si>
    <t>Claim Number</t>
  </si>
  <si>
    <t>${claim.claimNumber}</t>
  </si>
  <si>
    <t>Self Risk</t>
  </si>
  <si>
    <t>${claim.selfRisk}</t>
  </si>
  <si>
    <t>Claim Date</t>
  </si>
  <si>
    <t>${claim.claimDate}</t>
  </si>
  <si>
    <t>Customer note to claim</t>
  </si>
  <si>
    <t>${claim.customerNoteToClaim}</t>
  </si>
  <si>
    <t>Claim line ID</t>
  </si>
  <si>
    <t>Claim line GUID</t>
  </si>
  <si>
    <t>Original description</t>
  </si>
  <si>
    <t>Category (Category Group)</t>
  </si>
  <si>
    <t>Sub-Category (Pseudo Category)</t>
  </si>
  <si>
    <t>Age, months</t>
  </si>
  <si>
    <t>Age, years</t>
  </si>
  <si>
    <t>Claimed amount</t>
  </si>
  <si>
    <t>New Price</t>
  </si>
  <si>
    <t>Customer Demand</t>
  </si>
  <si>
    <t>Discretionary replacement</t>
  </si>
  <si>
    <t>Used price</t>
  </si>
  <si>
    <t>Product price</t>
  </si>
  <si>
    <t>Retail price</t>
  </si>
  <si>
    <t>Product that was matched</t>
  </si>
  <si>
    <t>Repair estimate</t>
  </si>
  <si>
    <t>Repair price</t>
  </si>
  <si>
    <t>Customer notes to claim line</t>
  </si>
  <si>
    <t>Task type</t>
  </si>
  <si>
    <t>Service partner note</t>
  </si>
  <si>
    <t>&lt;jx:forEach items="${serviceLines}" var="serviceLine"&gt;</t>
  </si>
  <si>
    <t>${serviceLine.lineIndex}</t>
  </si>
  <si>
    <t>${serviceLine.lineGUID}</t>
  </si>
  <si>
    <t>${serviceLine.originalDescription}</t>
  </si>
  <si>
    <t>${serviceLine.description}</t>
  </si>
  <si>
    <t>${serviceLine.categoryName}</t>
  </si>
  <si>
    <t>${serviceLine.subCategoryName}</t>
  </si>
  <si>
    <t>${serviceLine.quantity}</t>
  </si>
  <si>
    <t>${serviceLine.ageMonths}</t>
  </si>
  <si>
    <t>${serviceLine.ageYears}</t>
  </si>
  <si>
    <t>${serviceLine.purchasePrice}</t>
  </si>
  <si>
    <t>${serviceLine.newPrice}</t>
  </si>
  <si>
    <t>${serviceLine.customerDemand}</t>
  </si>
  <si>
    <t>${serviceLine.discretionaryValuation}</t>
  </si>
  <si>
    <t>${serviceLine.usedPrice}</t>
  </si>
  <si>
    <t>${serviceLine.productPrice}</t>
  </si>
  <si>
    <t>${serviceLine.retailPrice}</t>
  </si>
  <si>
    <t>${serviceLine.productThatWasMatched}</t>
  </si>
  <si>
    <t>${serviceLine.repairEstimate}</t>
  </si>
  <si>
    <t>${serviceLine.repairPrice}</t>
  </si>
  <si>
    <t>${serviceLine.customerNotesToClaimLine}</t>
  </si>
  <si>
    <t>${serviceLine.taskType}</t>
  </si>
  <si>
    <t>&lt;/jx:forEach&gt;</t>
  </si>
  <si>
    <t>Depreciation</t>
  </si>
  <si>
    <t>${serviceLine.depreciation}</t>
  </si>
  <si>
    <t>Invoice Type</t>
  </si>
  <si>
    <t>FIK Type</t>
  </si>
  <si>
    <t>Yes/no</t>
  </si>
  <si>
    <t>Ja</t>
  </si>
  <si>
    <t>Nej</t>
  </si>
  <si>
    <t>Total</t>
  </si>
  <si>
    <t>Service Partner</t>
  </si>
  <si>
    <t>Service Partner Address 1</t>
  </si>
  <si>
    <t>Service Partner Address 2</t>
  </si>
  <si>
    <t>Service Partner Postal сode</t>
  </si>
  <si>
    <t>Service Partner City</t>
  </si>
  <si>
    <t>Service Partner Phone</t>
  </si>
  <si>
    <t>Service Partner Email</t>
  </si>
  <si>
    <t>Service Partner Company number (CVR)</t>
  </si>
  <si>
    <t>Bank name:</t>
  </si>
  <si>
    <t>Bank registration number:</t>
  </si>
  <si>
    <t>Bank account number:</t>
  </si>
  <si>
    <t>IBAN number:</t>
  </si>
  <si>
    <t>Invoice Type:</t>
  </si>
  <si>
    <t>Invoice Number:</t>
  </si>
  <si>
    <t>Invoice date:</t>
  </si>
  <si>
    <t>Payment Due Date:</t>
  </si>
  <si>
    <t>Credit Note Number:</t>
  </si>
  <si>
    <t>Name of Valuation Responsible:</t>
  </si>
  <si>
    <t>Date of valuation:</t>
  </si>
  <si>
    <t>Unit</t>
  </si>
  <si>
    <t>Unit Price</t>
  </si>
  <si>
    <t>VAT (%)</t>
  </si>
  <si>
    <t>Price</t>
  </si>
  <si>
    <t>VAT</t>
  </si>
  <si>
    <t>Line Total</t>
  </si>
  <si>
    <t>Net Amount:</t>
  </si>
  <si>
    <t>VAT:</t>
  </si>
  <si>
    <t>Total Invoice Amount:</t>
  </si>
  <si>
    <t>Use this button to return the report (and invoice if any) to the insurance company</t>
  </si>
  <si>
    <t>Or send it manually via your mail client (save this Excel first to your local computer). This is required if you need to add attachment/documentation.</t>
  </si>
  <si>
    <t>Invoice</t>
  </si>
  <si>
    <t>Credit Note</t>
  </si>
  <si>
    <t>${claim.claimHandlerFullName}</t>
  </si>
  <si>
    <t>${servicePartner.bank.regNumber}</t>
  </si>
  <si>
    <t>${servicePartner.bank.accountNumber}</t>
  </si>
  <si>
    <t>GIRO number:</t>
  </si>
  <si>
    <t>${servicePartner.bank.IBAN}</t>
  </si>
  <si>
    <t>${servicePartner.bank.GIRO}</t>
  </si>
  <si>
    <t>Service agreement name</t>
  </si>
  <si>
    <t>Location/Shop name</t>
  </si>
  <si>
    <t>Location address 1</t>
  </si>
  <si>
    <t>Location address 2</t>
  </si>
  <si>
    <t>Location postal code</t>
  </si>
  <si>
    <t>Location City</t>
  </si>
  <si>
    <t>Location Phone</t>
  </si>
  <si>
    <t>Task email</t>
  </si>
  <si>
    <t>${location.name}</t>
  </si>
  <si>
    <t>${location.address1}</t>
  </si>
  <si>
    <t>${location.address2}</t>
  </si>
  <si>
    <t>${location.postalCode}</t>
  </si>
  <si>
    <t>${location.city}</t>
  </si>
  <si>
    <t>${location.phone}</t>
  </si>
  <si>
    <t>${claim.policyType}</t>
  </si>
  <si>
    <t>${servicePartner.bank.fikType}</t>
  </si>
  <si>
    <t>${servicePartner.bank.fikCreditorCode}</t>
  </si>
  <si>
    <t>${servicePartner.serviceAgreementName}</t>
  </si>
  <si>
    <t>${taskEmail}</t>
  </si>
  <si>
    <t>Policy type</t>
  </si>
  <si>
    <t>LineID</t>
  </si>
  <si>
    <t>${serviceLine.claimLineId}</t>
  </si>
  <si>
    <t>${claim.takenSelfRisk}</t>
  </si>
  <si>
    <t>Taken Self Risk</t>
  </si>
  <si>
    <t>Invoice will be payed by:</t>
  </si>
  <si>
    <t>${invoicePaidBy}</t>
  </si>
  <si>
    <t>Total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</si>
</sst>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b/>
      <sz val="11"/>
      <color rgb="FF000000"/>
      <name val="Calibri"/>
      <family val="2"/>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77">
    <xf numFmtId="0" fontId="0" fillId="0" borderId="0" xfId="0"/>
    <xf numFmtId="49" fontId="0" fillId="0" borderId="0" xfId="0" applyNumberFormat="1" applyProtection="1">
      <protection locked="0"/>
    </xf>
    <xf numFmtId="49" fontId="0" fillId="0" borderId="1" xfId="0" applyNumberFormat="1" applyBorder="1" applyProtection="1">
      <protection locked="0"/>
    </xf>
    <xf numFmtId="49" fontId="0" fillId="0" borderId="1" xfId="0" applyNumberFormat="1" applyBorder="1" applyProtection="1"/>
    <xf numFmtId="49" fontId="0" fillId="0" borderId="0" xfId="0" applyNumberFormat="1" applyProtection="1"/>
    <xf numFmtId="49" fontId="1" fillId="0" borderId="0" xfId="0" applyNumberFormat="1" applyFont="1" applyProtection="1"/>
    <xf numFmtId="49" fontId="1" fillId="0" borderId="1" xfId="0" applyNumberFormat="1" applyFont="1" applyBorder="1" applyProtection="1"/>
    <xf numFmtId="1" fontId="0" fillId="0" borderId="1" xfId="0" applyNumberFormat="1" applyBorder="1" applyProtection="1">
      <protection locked="0"/>
    </xf>
    <xf numFmtId="1" fontId="0" fillId="0" borderId="0" xfId="0" applyNumberFormat="1" applyProtection="1">
      <protection locked="0"/>
    </xf>
    <xf numFmtId="2" fontId="0" fillId="0" borderId="1" xfId="0" applyNumberFormat="1" applyBorder="1" applyProtection="1">
      <protection locked="0"/>
    </xf>
    <xf numFmtId="2" fontId="0" fillId="0" borderId="0" xfId="0" applyNumberFormat="1" applyProtection="1">
      <protection locked="0"/>
    </xf>
    <xf numFmtId="49" fontId="3" fillId="0" borderId="0" xfId="2" applyNumberFormat="1" applyProtection="1"/>
    <xf numFmtId="0" fontId="0" fillId="2" borderId="0" xfId="0" applyFill="1"/>
    <xf numFmtId="0" fontId="0" fillId="3" borderId="0" xfId="0" applyFill="1"/>
    <xf numFmtId="0" fontId="0" fillId="3" borderId="0" xfId="0" applyFill="1" applyAlignment="1">
      <alignment horizontal="right"/>
    </xf>
    <xf numFmtId="49" fontId="0" fillId="4" borderId="6" xfId="0" applyNumberFormat="1" applyFill="1" applyBorder="1" applyAlignment="1">
      <alignment horizontal="left" vertical="top"/>
    </xf>
    <xf numFmtId="49" fontId="1" fillId="5" borderId="7" xfId="0" applyNumberFormat="1" applyFont="1" applyFill="1" applyBorder="1" applyAlignment="1">
      <alignment vertical="top"/>
    </xf>
    <xf numFmtId="49" fontId="0" fillId="4" borderId="0" xfId="0" applyNumberFormat="1" applyFill="1" applyAlignment="1" applyProtection="1">
      <alignment horizontal="center" vertical="top"/>
      <protection locked="0"/>
    </xf>
    <xf numFmtId="0" fontId="0" fillId="4" borderId="0" xfId="0" applyNumberFormat="1" applyFill="1" applyAlignment="1" applyProtection="1">
      <alignment horizontal="center" vertical="top"/>
      <protection locked="0"/>
    </xf>
    <xf numFmtId="0" fontId="0" fillId="4" borderId="0" xfId="0" applyNumberFormat="1" applyFill="1" applyAlignment="1" applyProtection="1">
      <alignment vertical="top"/>
      <protection locked="0"/>
    </xf>
    <xf numFmtId="0" fontId="0" fillId="4" borderId="0" xfId="0" applyNumberFormat="1" applyFill="1" applyAlignment="1" applyProtection="1">
      <alignment vertical="top"/>
    </xf>
    <xf numFmtId="0"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vertical="top"/>
    </xf>
    <xf numFmtId="0" fontId="0" fillId="4" borderId="6" xfId="0" applyNumberFormat="1" applyFill="1" applyBorder="1" applyAlignment="1" applyProtection="1">
      <alignment vertical="top"/>
      <protection locked="0"/>
    </xf>
    <xf numFmtId="0" fontId="0" fillId="4" borderId="12" xfId="0" applyNumberFormat="1" applyFill="1" applyBorder="1" applyAlignment="1" applyProtection="1">
      <alignment vertical="top"/>
    </xf>
    <xf numFmtId="49" fontId="0" fillId="4" borderId="2" xfId="0" applyNumberFormat="1" applyFill="1" applyBorder="1" applyAlignment="1">
      <alignment horizontal="left" vertical="top"/>
    </xf>
    <xf numFmtId="49" fontId="0" fillId="5" borderId="3" xfId="0" applyNumberFormat="1" applyFill="1" applyBorder="1" applyAlignment="1">
      <alignment vertical="top"/>
    </xf>
    <xf numFmtId="0" fontId="0" fillId="4" borderId="2" xfId="0" applyNumberFormat="1" applyFill="1" applyBorder="1" applyAlignment="1" applyProtection="1">
      <alignment vertical="top"/>
      <protection locked="0"/>
    </xf>
    <xf numFmtId="49" fontId="0" fillId="4" borderId="2" xfId="0" applyNumberFormat="1" applyFont="1" applyFill="1" applyBorder="1" applyAlignment="1">
      <alignment horizontal="left" vertical="top"/>
    </xf>
    <xf numFmtId="49" fontId="0" fillId="5" borderId="3" xfId="0" applyNumberFormat="1" applyFont="1" applyFill="1" applyBorder="1" applyAlignment="1">
      <alignment vertical="top"/>
    </xf>
    <xf numFmtId="0" fontId="0" fillId="4" borderId="10" xfId="0" applyNumberFormat="1" applyFill="1" applyBorder="1" applyAlignment="1" applyProtection="1">
      <alignment vertical="top"/>
      <protection locked="0"/>
    </xf>
    <xf numFmtId="0" fontId="0" fillId="4" borderId="5" xfId="0" applyNumberFormat="1" applyFill="1" applyBorder="1" applyAlignment="1" applyProtection="1">
      <alignment vertical="top"/>
    </xf>
    <xf numFmtId="49" fontId="0" fillId="4" borderId="8" xfId="0" applyNumberFormat="1" applyFont="1" applyFill="1" applyBorder="1" applyAlignment="1">
      <alignment horizontal="left" vertical="top"/>
    </xf>
    <xf numFmtId="49" fontId="0" fillId="5" borderId="9" xfId="0" applyNumberFormat="1" applyFont="1" applyFill="1" applyBorder="1" applyAlignment="1">
      <alignment vertical="top"/>
    </xf>
    <xf numFmtId="49" fontId="4" fillId="5" borderId="3" xfId="0" applyNumberFormat="1" applyFont="1" applyFill="1" applyBorder="1" applyAlignment="1">
      <alignment horizontal="left" vertical="top"/>
    </xf>
    <xf numFmtId="49" fontId="0" fillId="4" borderId="6" xfId="0" applyNumberFormat="1" applyFont="1" applyFill="1" applyBorder="1" applyAlignment="1">
      <alignment horizontal="left" vertical="top"/>
    </xf>
    <xf numFmtId="49" fontId="0" fillId="5" borderId="3" xfId="0" applyNumberFormat="1" applyFont="1" applyFill="1" applyBorder="1" applyAlignment="1">
      <alignment horizontal="left" vertical="top"/>
    </xf>
    <xf numFmtId="49" fontId="0" fillId="4" borderId="10" xfId="0" applyNumberFormat="1" applyFont="1" applyFill="1" applyBorder="1" applyAlignment="1">
      <alignment horizontal="left" vertical="top"/>
    </xf>
    <xf numFmtId="49" fontId="4" fillId="5" borderId="11" xfId="0" applyNumberFormat="1" applyFont="1" applyFill="1" applyBorder="1" applyAlignment="1">
      <alignment horizontal="left" vertical="top"/>
    </xf>
    <xf numFmtId="0" fontId="1" fillId="4" borderId="1" xfId="0" applyNumberFormat="1" applyFont="1" applyFill="1" applyBorder="1" applyAlignment="1" applyProtection="1">
      <alignment vertical="top"/>
      <protection locked="0"/>
    </xf>
    <xf numFmtId="0" fontId="1" fillId="4" borderId="1" xfId="0" applyNumberFormat="1" applyFont="1" applyFill="1" applyBorder="1" applyAlignment="1" applyProtection="1">
      <alignment horizontal="center" vertical="top"/>
      <protection locked="0"/>
    </xf>
    <xf numFmtId="0" fontId="1" fillId="3" borderId="1" xfId="0" applyNumberFormat="1" applyFont="1" applyFill="1" applyBorder="1" applyAlignment="1" applyProtection="1">
      <alignment horizontal="center" vertical="top"/>
      <protection locked="0"/>
    </xf>
    <xf numFmtId="0" fontId="0" fillId="4" borderId="1" xfId="0" applyNumberFormat="1" applyFill="1" applyBorder="1" applyAlignment="1" applyProtection="1">
      <alignment vertical="top"/>
      <protection locked="0"/>
    </xf>
    <xf numFmtId="0" fontId="0" fillId="4" borderId="1" xfId="0" applyNumberFormat="1" applyFill="1" applyBorder="1" applyAlignment="1" applyProtection="1">
      <alignment horizontal="center" vertical="top"/>
      <protection locked="0"/>
    </xf>
    <xf numFmtId="49" fontId="0" fillId="4" borderId="1" xfId="0" applyNumberFormat="1" applyFill="1" applyBorder="1" applyAlignment="1" applyProtection="1">
      <alignment horizontal="center" vertical="top"/>
      <protection locked="0"/>
    </xf>
    <xf numFmtId="0" fontId="0" fillId="4" borderId="1" xfId="0" applyNumberFormat="1" applyFill="1" applyBorder="1" applyAlignment="1" applyProtection="1">
      <alignment horizontal="right" vertical="top"/>
      <protection locked="0"/>
    </xf>
    <xf numFmtId="10" fontId="0" fillId="4" borderId="1" xfId="1" applyNumberFormat="1" applyFont="1" applyFill="1" applyBorder="1" applyAlignment="1" applyProtection="1">
      <alignment horizontal="right" vertical="top"/>
      <protection locked="0"/>
    </xf>
    <xf numFmtId="49"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horizontal="center" vertical="top"/>
      <protection locked="0"/>
    </xf>
    <xf numFmtId="49" fontId="0" fillId="4" borderId="0" xfId="0" applyNumberFormat="1" applyFill="1" applyBorder="1" applyAlignment="1" applyProtection="1">
      <alignment horizontal="center" vertical="top"/>
      <protection locked="0"/>
    </xf>
    <xf numFmtId="0" fontId="0" fillId="4" borderId="0" xfId="0" applyNumberFormat="1" applyFont="1" applyFill="1" applyBorder="1" applyAlignment="1" applyProtection="1">
      <alignment horizontal="right" vertical="top"/>
    </xf>
    <xf numFmtId="0" fontId="0" fillId="4" borderId="4" xfId="0" applyNumberFormat="1" applyFill="1" applyBorder="1" applyAlignment="1" applyProtection="1">
      <alignment vertical="top"/>
      <protection locked="0"/>
    </xf>
    <xf numFmtId="0" fontId="1" fillId="4" borderId="4" xfId="0" applyNumberFormat="1" applyFont="1" applyFill="1" applyBorder="1" applyAlignment="1" applyProtection="1">
      <alignment horizontal="right" vertical="top"/>
    </xf>
    <xf numFmtId="49" fontId="0" fillId="4" borderId="0" xfId="0" applyNumberFormat="1" applyFill="1" applyAlignment="1" applyProtection="1">
      <alignment vertical="top"/>
      <protection locked="0"/>
    </xf>
    <xf numFmtId="2" fontId="0" fillId="4" borderId="1" xfId="0" applyNumberFormat="1" applyFill="1" applyBorder="1" applyAlignment="1" applyProtection="1">
      <alignment horizontal="right" vertical="top"/>
      <protection locked="0"/>
    </xf>
    <xf numFmtId="2" fontId="0" fillId="4" borderId="0" xfId="0" applyNumberFormat="1" applyFill="1" applyBorder="1" applyAlignment="1" applyProtection="1">
      <alignment horizontal="right" vertical="top"/>
      <protection locked="0"/>
    </xf>
    <xf numFmtId="2" fontId="1" fillId="4" borderId="4" xfId="0" applyNumberFormat="1" applyFont="1" applyFill="1" applyBorder="1" applyAlignment="1" applyProtection="1">
      <alignment horizontal="right" vertical="top"/>
      <protection locked="0"/>
    </xf>
    <xf numFmtId="2" fontId="0" fillId="3" borderId="1" xfId="0" applyNumberFormat="1" applyFill="1" applyBorder="1" applyAlignment="1" applyProtection="1">
      <alignment horizontal="right" vertical="top" indent="1"/>
      <protection locked="0"/>
    </xf>
    <xf numFmtId="49" fontId="0" fillId="4" borderId="0" xfId="0" applyNumberFormat="1" applyFill="1" applyBorder="1" applyAlignment="1">
      <alignment horizontal="left" vertical="top"/>
    </xf>
    <xf numFmtId="49" fontId="0" fillId="4" borderId="0" xfId="0" applyNumberFormat="1" applyFont="1" applyFill="1" applyBorder="1" applyAlignment="1">
      <alignment vertical="top"/>
    </xf>
    <xf numFmtId="49" fontId="0" fillId="4" borderId="1" xfId="0" applyNumberFormat="1" applyFill="1" applyBorder="1" applyAlignment="1" applyProtection="1">
      <alignment vertical="top"/>
      <protection locked="0"/>
    </xf>
    <xf numFmtId="0" fontId="1" fillId="3" borderId="1" xfId="0" applyNumberFormat="1" applyFont="1" applyFill="1" applyBorder="1" applyAlignment="1" applyProtection="1">
      <alignment horizontal="center" vertical="top"/>
      <protection locked="0"/>
    </xf>
    <xf numFmtId="0" fontId="1" fillId="4" borderId="1" xfId="0" applyNumberFormat="1" applyFont="1" applyFill="1" applyBorder="1" applyAlignment="1" applyProtection="1">
      <alignment vertical="top"/>
      <protection locked="0"/>
    </xf>
    <xf numFmtId="49" fontId="0" fillId="5" borderId="12" xfId="0" applyNumberFormat="1" applyFont="1" applyFill="1" applyBorder="1" applyAlignment="1">
      <alignment horizontal="right" vertical="top"/>
    </xf>
    <xf numFmtId="49" fontId="0" fillId="5" borderId="7" xfId="0" applyNumberFormat="1" applyFont="1" applyFill="1" applyBorder="1" applyAlignment="1">
      <alignment horizontal="right" vertical="top"/>
    </xf>
    <xf numFmtId="49" fontId="0" fillId="5" borderId="0" xfId="0" applyNumberFormat="1" applyFont="1" applyFill="1" applyBorder="1" applyAlignment="1">
      <alignment horizontal="right" vertical="top"/>
    </xf>
    <xf numFmtId="49" fontId="0" fillId="5" borderId="3" xfId="0" applyNumberFormat="1" applyFont="1" applyFill="1" applyBorder="1" applyAlignment="1">
      <alignment horizontal="right" vertical="top"/>
    </xf>
    <xf numFmtId="49" fontId="0" fillId="5" borderId="5" xfId="0" applyNumberFormat="1" applyFont="1" applyFill="1" applyBorder="1" applyAlignment="1">
      <alignment horizontal="right" vertical="top"/>
    </xf>
    <xf numFmtId="49" fontId="0" fillId="5" borderId="11" xfId="0" applyNumberFormat="1" applyFont="1" applyFill="1" applyBorder="1" applyAlignment="1">
      <alignment horizontal="right" vertical="top"/>
    </xf>
    <xf numFmtId="49" fontId="0" fillId="5" borderId="12" xfId="0" applyNumberFormat="1" applyFill="1" applyBorder="1" applyAlignment="1" applyProtection="1">
      <alignment horizontal="right" vertical="top"/>
      <protection locked="0"/>
    </xf>
    <xf numFmtId="49" fontId="0" fillId="5" borderId="7" xfId="0" applyNumberFormat="1" applyFill="1" applyBorder="1" applyAlignment="1" applyProtection="1">
      <alignment horizontal="right" vertical="top"/>
      <protection locked="0"/>
    </xf>
    <xf numFmtId="49" fontId="0" fillId="5" borderId="0" xfId="0" applyNumberFormat="1" applyFill="1" applyBorder="1" applyAlignment="1" applyProtection="1">
      <alignment horizontal="right" vertical="top"/>
      <protection locked="0"/>
    </xf>
    <xf numFmtId="49" fontId="0" fillId="5" borderId="3" xfId="0" applyNumberFormat="1" applyFill="1" applyBorder="1" applyAlignment="1" applyProtection="1">
      <alignment horizontal="right" vertical="top"/>
      <protection locked="0"/>
    </xf>
    <xf numFmtId="14" fontId="0" fillId="5" borderId="0" xfId="0" applyNumberFormat="1" applyFill="1" applyBorder="1" applyAlignment="1" applyProtection="1">
      <alignment horizontal="right" vertical="top"/>
      <protection locked="0"/>
    </xf>
    <xf numFmtId="14" fontId="0" fillId="5" borderId="3" xfId="0" applyNumberFormat="1" applyFill="1" applyBorder="1" applyAlignment="1" applyProtection="1">
      <alignment horizontal="right" vertical="top"/>
      <protection locked="0"/>
    </xf>
    <xf numFmtId="14" fontId="0" fillId="5" borderId="5" xfId="0" applyNumberFormat="1" applyFill="1" applyBorder="1" applyAlignment="1" applyProtection="1">
      <alignment horizontal="right" vertical="top"/>
      <protection locked="0"/>
    </xf>
    <xf numFmtId="14" fontId="0" fillId="5" borderId="11" xfId="0" applyNumberFormat="1" applyFill="1" applyBorder="1" applyAlignment="1" applyProtection="1">
      <alignment horizontal="right" vertical="top"/>
      <protection locked="0"/>
    </xf>
  </cellXfs>
  <cellStyles count="3">
    <cellStyle name="Hyperlink" xfId="2" builtinId="8"/>
    <cellStyle name="Normal" xfId="0" builtinId="0"/>
    <cellStyle name="Percent" xfId="1" builtinId="5"/>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right/>
        <top/>
        <bottom/>
      </border>
    </dxf>
    <dxf>
      <fill>
        <patternFill>
          <bgColor rgb="FFFF0000"/>
        </patternFill>
      </fill>
      <border>
        <left/>
        <right/>
        <top/>
        <bottom/>
      </border>
    </dxf>
    <dxf>
      <fill>
        <patternFill>
          <bgColor rgb="FFFF0000"/>
        </patternFill>
      </fill>
      <border>
        <left/>
        <right/>
        <top style="thin">
          <color auto="1"/>
        </top>
        <bottom/>
      </border>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180975</xdr:rowOff>
        </xdr:from>
        <xdr:to>
          <xdr:col>4</xdr:col>
          <xdr:colOff>1809750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Send Report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84667</xdr:colOff>
      <xdr:row>2</xdr:row>
      <xdr:rowOff>153460</xdr:rowOff>
    </xdr:from>
    <xdr:to>
      <xdr:col>11</xdr:col>
      <xdr:colOff>460375</xdr:colOff>
      <xdr:row>4</xdr:row>
      <xdr:rowOff>95254</xdr:rowOff>
    </xdr:to>
    <xdr:sp macro="" textlink="">
      <xdr:nvSpPr>
        <xdr:cNvPr id="2" name="Down Arrow 1"/>
        <xdr:cNvSpPr/>
      </xdr:nvSpPr>
      <xdr:spPr>
        <a:xfrm rot="5400000">
          <a:off x="9117541" y="317503"/>
          <a:ext cx="322794" cy="375708"/>
        </a:xfrm>
        <a:prstGeom prst="down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587376</xdr:colOff>
      <xdr:row>1</xdr:row>
      <xdr:rowOff>179916</xdr:rowOff>
    </xdr:from>
    <xdr:to>
      <xdr:col>15</xdr:col>
      <xdr:colOff>269876</xdr:colOff>
      <xdr:row>9</xdr:row>
      <xdr:rowOff>137584</xdr:rowOff>
    </xdr:to>
    <xdr:sp macro="" textlink="">
      <xdr:nvSpPr>
        <xdr:cNvPr id="3" name="TextBox 2"/>
        <xdr:cNvSpPr txBox="1"/>
      </xdr:nvSpPr>
      <xdr:spPr>
        <a:xfrm>
          <a:off x="9593793" y="179916"/>
          <a:ext cx="2423583" cy="1481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a:t>Please</a:t>
          </a:r>
          <a:r>
            <a:rPr lang="da-DK" sz="1100" baseline="0"/>
            <a:t> note that "Invoice Number" must not be filled out before the invoice is final and ready to be send to the insurance company. Thus, if you return the template partially filled, DO NOT fill out "Invoice Number" before the template is completed and ready to be returned.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7"/>
  <sheetViews>
    <sheetView tabSelected="1" workbookViewId="0">
      <selection activeCell="C4" sqref="C4"/>
    </sheetView>
  </sheetViews>
  <sheetFormatPr defaultColWidth="9.125" defaultRowHeight="15" x14ac:dyDescent="0.25"/>
  <cols>
    <col min="1" max="1" width="14" style="1" customWidth="1"/>
    <col min="2" max="2" width="39.75" style="1" customWidth="1"/>
    <col min="3" max="3" width="31.625" style="1" bestFit="1" customWidth="1"/>
    <col min="4" max="4" width="24.375" style="1" bestFit="1" customWidth="1"/>
    <col min="5" max="5" width="27.375" style="1" bestFit="1" customWidth="1"/>
    <col min="6" max="6" width="31" style="1" bestFit="1" customWidth="1"/>
    <col min="7" max="7" width="22.125" style="8" customWidth="1"/>
    <col min="8" max="8" width="24.25" style="8" bestFit="1" customWidth="1"/>
    <col min="9" max="9" width="22.25" style="8" bestFit="1" customWidth="1"/>
    <col min="10" max="10" width="27" style="8" bestFit="1" customWidth="1"/>
    <col min="11" max="11" width="22.75" style="10" bestFit="1" customWidth="1"/>
    <col min="12" max="12" width="30.375" style="10" bestFit="1" customWidth="1"/>
    <col min="13" max="13" width="35" style="10" bestFit="1" customWidth="1"/>
    <col min="14" max="14" width="23.125" style="10" bestFit="1" customWidth="1"/>
    <col min="15" max="15" width="25.875" style="10" bestFit="1" customWidth="1"/>
    <col min="16" max="16" width="23.625" style="10" bestFit="1" customWidth="1"/>
    <col min="17" max="17" width="37" style="10" bestFit="1" customWidth="1"/>
    <col min="18" max="18" width="27.625" style="1" bestFit="1" customWidth="1"/>
    <col min="19" max="19" width="24.125" style="10" bestFit="1" customWidth="1"/>
    <col min="20" max="20" width="39.375" style="10" bestFit="1" customWidth="1"/>
    <col min="21" max="21" width="22.25" style="1" bestFit="1" customWidth="1"/>
    <col min="22" max="22" width="19.25" style="1" bestFit="1" customWidth="1"/>
    <col min="23" max="23" width="25.875" style="1" customWidth="1"/>
    <col min="24" max="24" width="19" style="1" customWidth="1"/>
    <col min="25" max="25" width="15.625" style="1" customWidth="1"/>
    <col min="26" max="16384" width="9.125" style="1"/>
  </cols>
  <sheetData>
    <row r="1" spans="2:5" s="4" customFormat="1" x14ac:dyDescent="0.25"/>
    <row r="2" spans="2:5" s="4" customFormat="1" x14ac:dyDescent="0.25">
      <c r="B2" s="5" t="s">
        <v>16</v>
      </c>
    </row>
    <row r="3" spans="2:5" s="4" customFormat="1" x14ac:dyDescent="0.25">
      <c r="B3" s="3" t="s">
        <v>17</v>
      </c>
      <c r="C3" s="3" t="s">
        <v>18</v>
      </c>
    </row>
    <row r="4" spans="2:5" s="4" customFormat="1" x14ac:dyDescent="0.25">
      <c r="B4" s="3" t="s">
        <v>20</v>
      </c>
      <c r="C4" s="3" t="s">
        <v>21</v>
      </c>
    </row>
    <row r="5" spans="2:5" s="4" customFormat="1" x14ac:dyDescent="0.25">
      <c r="B5" s="3" t="s">
        <v>22</v>
      </c>
      <c r="C5" s="3" t="s">
        <v>23</v>
      </c>
      <c r="E5" s="4" t="s">
        <v>127</v>
      </c>
    </row>
    <row r="6" spans="2:5" s="4" customFormat="1" x14ac:dyDescent="0.25">
      <c r="B6" s="3" t="s">
        <v>24</v>
      </c>
      <c r="C6" s="3" t="s">
        <v>25</v>
      </c>
      <c r="E6" s="4" t="s">
        <v>128</v>
      </c>
    </row>
    <row r="7" spans="2:5" s="4" customFormat="1" x14ac:dyDescent="0.25">
      <c r="B7" s="3" t="s">
        <v>26</v>
      </c>
      <c r="C7" s="3" t="s">
        <v>27</v>
      </c>
    </row>
    <row r="8" spans="2:5" s="4" customFormat="1" x14ac:dyDescent="0.25">
      <c r="B8" s="3" t="s">
        <v>28</v>
      </c>
      <c r="C8" s="3" t="s">
        <v>29</v>
      </c>
      <c r="E8" s="4" t="s">
        <v>19</v>
      </c>
    </row>
    <row r="9" spans="2:5" s="4" customFormat="1" x14ac:dyDescent="0.25">
      <c r="B9" s="3" t="s">
        <v>30</v>
      </c>
      <c r="C9" s="3" t="s">
        <v>31</v>
      </c>
    </row>
    <row r="10" spans="2:5" s="4" customFormat="1" x14ac:dyDescent="0.25">
      <c r="B10" s="3" t="s">
        <v>32</v>
      </c>
      <c r="C10" s="3" t="s">
        <v>33</v>
      </c>
    </row>
    <row r="11" spans="2:5" s="4" customFormat="1" x14ac:dyDescent="0.25"/>
    <row r="12" spans="2:5" s="4" customFormat="1" x14ac:dyDescent="0.25">
      <c r="B12" s="5" t="s">
        <v>34</v>
      </c>
    </row>
    <row r="13" spans="2:5" s="4" customFormat="1" x14ac:dyDescent="0.25">
      <c r="B13" s="3" t="s">
        <v>35</v>
      </c>
      <c r="C13" s="3" t="s">
        <v>36</v>
      </c>
    </row>
    <row r="14" spans="2:5" s="4" customFormat="1" x14ac:dyDescent="0.25">
      <c r="B14" s="3" t="s">
        <v>37</v>
      </c>
      <c r="C14" s="3" t="s">
        <v>38</v>
      </c>
      <c r="D14" s="11"/>
    </row>
    <row r="15" spans="2:5" s="4" customFormat="1" x14ac:dyDescent="0.25">
      <c r="B15" s="3" t="s">
        <v>39</v>
      </c>
      <c r="C15" s="3" t="s">
        <v>131</v>
      </c>
    </row>
    <row r="16" spans="2:5" s="4" customFormat="1" x14ac:dyDescent="0.25">
      <c r="B16" s="3" t="s">
        <v>40</v>
      </c>
      <c r="C16" s="3" t="s">
        <v>41</v>
      </c>
    </row>
    <row r="17" spans="1:25" s="4" customFormat="1" x14ac:dyDescent="0.25">
      <c r="B17" s="3" t="s">
        <v>42</v>
      </c>
      <c r="C17" s="3" t="s">
        <v>43</v>
      </c>
    </row>
    <row r="18" spans="1:25" s="4" customFormat="1" x14ac:dyDescent="0.25">
      <c r="B18" s="3" t="s">
        <v>160</v>
      </c>
      <c r="C18" s="3" t="s">
        <v>159</v>
      </c>
    </row>
    <row r="19" spans="1:25" s="4" customFormat="1" x14ac:dyDescent="0.25">
      <c r="B19" s="3" t="s">
        <v>44</v>
      </c>
      <c r="C19" s="3" t="s">
        <v>45</v>
      </c>
    </row>
    <row r="20" spans="1:25" s="4" customFormat="1" x14ac:dyDescent="0.25">
      <c r="B20" s="3" t="s">
        <v>46</v>
      </c>
      <c r="C20" s="3" t="s">
        <v>47</v>
      </c>
    </row>
    <row r="21" spans="1:25" s="4" customFormat="1" x14ac:dyDescent="0.25">
      <c r="B21" s="3" t="s">
        <v>156</v>
      </c>
      <c r="C21" s="3" t="s">
        <v>151</v>
      </c>
    </row>
    <row r="22" spans="1:25" s="4" customFormat="1" x14ac:dyDescent="0.25"/>
    <row r="23" spans="1:25" s="4" customFormat="1" x14ac:dyDescent="0.25"/>
    <row r="24" spans="1:25" s="5" customFormat="1" x14ac:dyDescent="0.25">
      <c r="A24" s="6" t="s">
        <v>48</v>
      </c>
      <c r="B24" s="6" t="s">
        <v>49</v>
      </c>
      <c r="C24" s="6" t="s">
        <v>157</v>
      </c>
      <c r="D24" s="6" t="s">
        <v>50</v>
      </c>
      <c r="E24" s="6" t="s">
        <v>14</v>
      </c>
      <c r="F24" s="6" t="s">
        <v>51</v>
      </c>
      <c r="G24" s="6" t="s">
        <v>52</v>
      </c>
      <c r="H24" s="6" t="s">
        <v>15</v>
      </c>
      <c r="I24" s="6" t="s">
        <v>91</v>
      </c>
      <c r="J24" s="6" t="s">
        <v>53</v>
      </c>
      <c r="K24" s="6" t="s">
        <v>54</v>
      </c>
      <c r="L24" s="6" t="s">
        <v>55</v>
      </c>
      <c r="M24" s="6" t="s">
        <v>56</v>
      </c>
      <c r="N24" s="6" t="s">
        <v>57</v>
      </c>
      <c r="O24" s="6" t="s">
        <v>58</v>
      </c>
      <c r="P24" s="6" t="s">
        <v>59</v>
      </c>
      <c r="Q24" s="6" t="s">
        <v>60</v>
      </c>
      <c r="R24" s="6" t="s">
        <v>61</v>
      </c>
      <c r="S24" s="6" t="s">
        <v>62</v>
      </c>
      <c r="T24" s="6" t="s">
        <v>63</v>
      </c>
      <c r="U24" s="6" t="s">
        <v>64</v>
      </c>
      <c r="V24" s="6" t="s">
        <v>65</v>
      </c>
      <c r="W24" s="6" t="s">
        <v>66</v>
      </c>
      <c r="X24" s="6" t="s">
        <v>67</v>
      </c>
      <c r="Y24" s="6" t="s">
        <v>163</v>
      </c>
    </row>
    <row r="25" spans="1:25" x14ac:dyDescent="0.25">
      <c r="A25" s="2" t="s">
        <v>68</v>
      </c>
      <c r="B25" s="2"/>
      <c r="C25" s="2"/>
      <c r="D25" s="2"/>
      <c r="E25" s="2"/>
      <c r="F25" s="2"/>
      <c r="G25" s="2"/>
      <c r="H25" s="7"/>
      <c r="I25" s="7"/>
      <c r="J25" s="7"/>
      <c r="K25" s="7"/>
      <c r="L25" s="9"/>
      <c r="M25" s="9"/>
      <c r="N25" s="9"/>
      <c r="O25" s="9"/>
      <c r="P25" s="9"/>
      <c r="Q25" s="9"/>
      <c r="R25" s="9"/>
      <c r="S25" s="2"/>
      <c r="T25" s="9"/>
      <c r="U25" s="9"/>
      <c r="V25" s="2"/>
      <c r="W25" s="2"/>
      <c r="X25" s="2"/>
      <c r="Y25" s="2"/>
    </row>
    <row r="26" spans="1:25" x14ac:dyDescent="0.25">
      <c r="A26" s="2" t="s">
        <v>69</v>
      </c>
      <c r="B26" s="2" t="s">
        <v>70</v>
      </c>
      <c r="C26" s="2" t="s">
        <v>158</v>
      </c>
      <c r="D26" s="2" t="s">
        <v>71</v>
      </c>
      <c r="E26" s="2" t="s">
        <v>72</v>
      </c>
      <c r="F26" s="2" t="s">
        <v>73</v>
      </c>
      <c r="G26" s="2" t="s">
        <v>74</v>
      </c>
      <c r="H26" s="7" t="s">
        <v>75</v>
      </c>
      <c r="I26" s="7" t="s">
        <v>92</v>
      </c>
      <c r="J26" s="7" t="s">
        <v>76</v>
      </c>
      <c r="K26" s="7" t="s">
        <v>77</v>
      </c>
      <c r="L26" s="9" t="s">
        <v>78</v>
      </c>
      <c r="M26" s="9" t="s">
        <v>79</v>
      </c>
      <c r="N26" s="9" t="s">
        <v>80</v>
      </c>
      <c r="O26" s="9" t="s">
        <v>81</v>
      </c>
      <c r="P26" s="9" t="s">
        <v>82</v>
      </c>
      <c r="Q26" s="9" t="s">
        <v>83</v>
      </c>
      <c r="R26" s="9" t="s">
        <v>84</v>
      </c>
      <c r="S26" s="2" t="s">
        <v>85</v>
      </c>
      <c r="T26" s="9" t="s">
        <v>86</v>
      </c>
      <c r="U26" s="9" t="s">
        <v>87</v>
      </c>
      <c r="V26" s="2" t="s">
        <v>88</v>
      </c>
      <c r="W26" s="2" t="s">
        <v>89</v>
      </c>
      <c r="X26" s="2"/>
      <c r="Y26" s="2"/>
    </row>
    <row r="27" spans="1:25" x14ac:dyDescent="0.25">
      <c r="A27" s="2" t="s">
        <v>90</v>
      </c>
      <c r="B27" s="2"/>
      <c r="C27" s="2"/>
      <c r="D27" s="2"/>
      <c r="E27" s="2"/>
      <c r="F27" s="2"/>
      <c r="G27" s="2"/>
      <c r="H27" s="7"/>
      <c r="I27" s="7"/>
      <c r="J27" s="7"/>
      <c r="K27" s="7"/>
      <c r="L27" s="9"/>
      <c r="M27" s="9"/>
      <c r="N27" s="9"/>
      <c r="O27" s="9"/>
      <c r="P27" s="9"/>
      <c r="Q27" s="9"/>
      <c r="R27" s="9"/>
      <c r="S27" s="2"/>
      <c r="T27" s="9"/>
      <c r="U27" s="9"/>
      <c r="V27" s="2"/>
      <c r="W27" s="2"/>
      <c r="X27" s="2"/>
      <c r="Y27" s="2"/>
    </row>
  </sheetData>
  <sheetProtection deleteRows="0"/>
  <conditionalFormatting sqref="D28:D1048576 E25:E27">
    <cfRule type="expression" dxfId="16" priority="4">
      <formula>AND(ISBLANK(CELL("contents",INDIRECT(ADDRESS(ROW(), COLUMN())))),OR(NOT(ISBLANK(CELL("contents", INDIRECT(ADDRESS(ROW(), COLUMN()+1))))),NOT(ISBLANK(CELL("contents", INDIRECT(ADDRESS(ROW(), COLUMN()+2))))),NOT(ISBLANK(CELL("contents", INDIRECT(ADDRESS(ROW(), COLUMN()+3)))))))</formula>
    </cfRule>
  </conditionalFormatting>
  <conditionalFormatting sqref="E28:E1048576 F25:F27">
    <cfRule type="expression" dxfId="15" priority="3">
      <formula>AND(ISBLANK(CELL("contents",INDIRECT(ADDRESS(ROW(), COLUMN())))),OR(NOT(ISBLANK(CELL("contents", INDIRECT(ADDRESS(ROW(), COLUMN()-1))))),NOT(ISBLANK(CELL("contents", INDIRECT(ADDRESS(ROW(), COLUMN()+1))))),NOT(ISBLANK(CELL("contents", INDIRECT(ADDRESS(ROW(), COLUMN()+2)))))))</formula>
    </cfRule>
  </conditionalFormatting>
  <conditionalFormatting sqref="F28:F1048576 G25:G27">
    <cfRule type="expression" dxfId="14" priority="2">
      <formula>AND(ISBLANK(CELL("contents",INDIRECT(ADDRESS(ROW(), COLUMN())))),OR(NOT(ISBLANK(CELL("contents", INDIRECT(ADDRESS(ROW(), COLUMN()-2))))),NOT(ISBLANK(CELL("contents", INDIRECT(ADDRESS(ROW(), COLUMN()-1))))),NOT(ISBLANK(CELL("contents", INDIRECT(ADDRESS(ROW(), COLUMN()+1)))))))</formula>
    </cfRule>
  </conditionalFormatting>
  <conditionalFormatting sqref="G28:G1048576 H25:H27">
    <cfRule type="expression" dxfId="13" priority="1">
      <formula>AND(ISBLANK(CELL("contents",INDIRECT(ADDRESS(ROW(), COLUMN())))),OR(NOT(ISBLANK(CELL("contents", INDIRECT(ADDRESS(ROW(), COLUMN()-3))))),NOT(ISBLANK(CELL("contents", INDIRECT(ADDRESS(ROW(), COLUMN()-2))))),NOT(ISBLANK(CELL("contents", INDIRECT(ADDRESS(ROW(), COLUMN()-1)))))))</formula>
    </cfRule>
  </conditionalFormatting>
  <dataValidations count="7">
    <dataValidation type="textLength" allowBlank="1" showInputMessage="1" showErrorMessage="1" error="expected result:_x000a_Text, Value between 0 to 1000" prompt="Text, Value between 0 to 1000" sqref="X25:X27 V28:W1048576">
      <formula1>0</formula1>
      <formula2>1000</formula2>
    </dataValidation>
    <dataValidation type="textLength" showInputMessage="1" showErrorMessage="1" error="expected result:_x000a_Mandatory Field, Text, Value between 1 to 510_x000a_" prompt="Mandatory Field, Text, Value between 1 to 510_x000a_" sqref="D28:D1048576 E25:E27">
      <formula1>1</formula1>
      <formula2>510</formula2>
    </dataValidation>
    <dataValidation type="whole" allowBlank="1" showInputMessage="1" showErrorMessage="1" error="expected result:_x000a_Mandatory Field, Number, Value between 1 to 100000" prompt="Mandatory Field, Number, Value between 1 to 100000" sqref="G28:G1048576 H25:H27">
      <formula1>1</formula1>
      <formula2>100000</formula2>
    </dataValidation>
    <dataValidation type="whole" allowBlank="1" showInputMessage="1" showErrorMessage="1" error="expected result:_x000a_Number, Value between 0 to 11" prompt="Number, Value between 0 to 11" sqref="I28:I1048576 J25:J27">
      <formula1>0</formula1>
      <formula2>11</formula2>
    </dataValidation>
    <dataValidation type="whole" allowBlank="1" showInputMessage="1" showErrorMessage="1" error="expected result:_x000a_Number, Value between 0 to 999999" prompt="Number, Value between 0 to 999999" sqref="J28:J1048576 K25:K27">
      <formula1>0</formula1>
      <formula2>999999</formula2>
    </dataValidation>
    <dataValidation type="decimal" allowBlank="1" showInputMessage="1" showErrorMessage="1" error="expected result:_x000a_Currency, Value between 0 to 9999999,00" prompt="Currency, Value between 0 to 9999999,00" sqref="K28:Q1048576 T25:U27 S28:T1048576 L25:R27">
      <formula1>0</formula1>
      <formula2>9999999</formula2>
    </dataValidation>
    <dataValidation type="whole" allowBlank="1" showInputMessage="1" showErrorMessage="1" error="expected result:_x000a_Number, Value between 0 to 100" prompt="Number, Value between 0 to 100" sqref="H28:H1048576 I25:I27">
      <formula1>0</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OutlookIsOpenGB">
                <anchor moveWithCells="1" sizeWithCells="1">
                  <from>
                    <xdr:col>4</xdr:col>
                    <xdr:colOff>38100</xdr:colOff>
                    <xdr:row>1</xdr:row>
                    <xdr:rowOff>180975</xdr:rowOff>
                  </from>
                  <to>
                    <xdr:col>4</xdr:col>
                    <xdr:colOff>1809750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2"/>
  <sheetViews>
    <sheetView zoomScale="90" zoomScaleNormal="90" workbookViewId="0">
      <selection activeCell="R20" sqref="R20"/>
    </sheetView>
  </sheetViews>
  <sheetFormatPr defaultColWidth="9.125" defaultRowHeight="15" x14ac:dyDescent="0.25"/>
  <cols>
    <col min="1" max="1" width="3.375" style="19" customWidth="1"/>
    <col min="2" max="2" width="3" style="19" bestFit="1" customWidth="1"/>
    <col min="3" max="3" width="27.75" style="53" customWidth="1"/>
    <col min="4" max="4" width="27.375" style="19" bestFit="1" customWidth="1"/>
    <col min="5" max="5" width="10.375" style="17" customWidth="1"/>
    <col min="6" max="6" width="10.375" style="18" customWidth="1"/>
    <col min="7" max="8" width="10.375" style="19" customWidth="1"/>
    <col min="9" max="9" width="11.375" style="20" customWidth="1"/>
    <col min="10" max="10" width="10.375" style="20" customWidth="1"/>
    <col min="11" max="11" width="10.375" style="19" customWidth="1"/>
    <col min="12" max="12" width="13.375" style="19" bestFit="1" customWidth="1"/>
    <col min="13" max="16384" width="9.125" style="19"/>
  </cols>
  <sheetData>
    <row r="1" spans="3:13" s="21" customFormat="1" x14ac:dyDescent="0.25">
      <c r="C1" s="58" t="s">
        <v>0</v>
      </c>
      <c r="D1" s="59" t="s">
        <v>1</v>
      </c>
      <c r="E1" s="49"/>
      <c r="F1" s="48"/>
      <c r="H1" s="21" t="s">
        <v>161</v>
      </c>
      <c r="I1" s="22"/>
      <c r="J1" s="22" t="s">
        <v>162</v>
      </c>
    </row>
    <row r="2" spans="3:13" x14ac:dyDescent="0.25">
      <c r="C2" s="19"/>
      <c r="E2" s="18"/>
      <c r="H2" s="21"/>
      <c r="I2" s="22"/>
      <c r="J2" s="21"/>
      <c r="K2" s="21"/>
      <c r="L2" s="21"/>
    </row>
    <row r="3" spans="3:13" x14ac:dyDescent="0.25">
      <c r="C3" s="15" t="s">
        <v>99</v>
      </c>
      <c r="D3" s="16" t="s">
        <v>2</v>
      </c>
      <c r="E3" s="18"/>
      <c r="H3" s="23" t="s">
        <v>111</v>
      </c>
      <c r="I3" s="24"/>
      <c r="J3" s="69"/>
      <c r="K3" s="70"/>
      <c r="L3" s="21"/>
    </row>
    <row r="4" spans="3:13" x14ac:dyDescent="0.25">
      <c r="C4" s="25" t="s">
        <v>100</v>
      </c>
      <c r="D4" s="26" t="s">
        <v>3</v>
      </c>
      <c r="E4" s="18"/>
      <c r="H4" s="27" t="s">
        <v>112</v>
      </c>
      <c r="I4" s="22"/>
      <c r="J4" s="71"/>
      <c r="K4" s="72"/>
      <c r="L4" s="21"/>
    </row>
    <row r="5" spans="3:13" x14ac:dyDescent="0.25">
      <c r="C5" s="28" t="s">
        <v>101</v>
      </c>
      <c r="D5" s="29" t="s">
        <v>4</v>
      </c>
      <c r="E5" s="18"/>
      <c r="H5" s="27" t="s">
        <v>113</v>
      </c>
      <c r="I5" s="22"/>
      <c r="J5" s="73"/>
      <c r="K5" s="74"/>
      <c r="L5" s="21"/>
    </row>
    <row r="6" spans="3:13" x14ac:dyDescent="0.25">
      <c r="C6" s="28" t="s">
        <v>102</v>
      </c>
      <c r="D6" s="29" t="s">
        <v>5</v>
      </c>
      <c r="E6" s="18"/>
      <c r="H6" s="27" t="s">
        <v>114</v>
      </c>
      <c r="I6" s="22"/>
      <c r="J6" s="73"/>
      <c r="K6" s="74"/>
      <c r="L6" s="21"/>
      <c r="M6" s="21"/>
    </row>
    <row r="7" spans="3:13" x14ac:dyDescent="0.25">
      <c r="C7" s="28" t="s">
        <v>103</v>
      </c>
      <c r="D7" s="29" t="s">
        <v>6</v>
      </c>
      <c r="E7" s="18"/>
      <c r="H7" s="27" t="s">
        <v>115</v>
      </c>
      <c r="I7" s="22"/>
      <c r="J7" s="71"/>
      <c r="K7" s="72"/>
      <c r="L7" s="21"/>
    </row>
    <row r="8" spans="3:13" x14ac:dyDescent="0.25">
      <c r="C8" s="28" t="s">
        <v>104</v>
      </c>
      <c r="D8" s="29" t="s">
        <v>7</v>
      </c>
      <c r="E8" s="18"/>
      <c r="H8" s="27" t="s">
        <v>116</v>
      </c>
      <c r="I8" s="22"/>
      <c r="J8" s="71"/>
      <c r="K8" s="72"/>
      <c r="L8" s="21"/>
    </row>
    <row r="9" spans="3:13" x14ac:dyDescent="0.25">
      <c r="C9" s="28" t="s">
        <v>105</v>
      </c>
      <c r="D9" s="29" t="s">
        <v>8</v>
      </c>
      <c r="E9" s="18"/>
      <c r="H9" s="30" t="s">
        <v>117</v>
      </c>
      <c r="I9" s="31"/>
      <c r="J9" s="75"/>
      <c r="K9" s="76"/>
      <c r="L9" s="21"/>
    </row>
    <row r="10" spans="3:13" x14ac:dyDescent="0.25">
      <c r="C10" s="28" t="s">
        <v>106</v>
      </c>
      <c r="D10" s="29" t="s">
        <v>9</v>
      </c>
      <c r="E10" s="18"/>
      <c r="J10" s="19"/>
    </row>
    <row r="11" spans="3:13" x14ac:dyDescent="0.25">
      <c r="C11" s="28" t="s">
        <v>137</v>
      </c>
      <c r="D11" s="29" t="s">
        <v>154</v>
      </c>
      <c r="E11" s="18"/>
      <c r="H11" s="35" t="s">
        <v>10</v>
      </c>
      <c r="I11" s="24"/>
      <c r="J11" s="63" t="s">
        <v>152</v>
      </c>
      <c r="K11" s="64"/>
    </row>
    <row r="12" spans="3:13" x14ac:dyDescent="0.25">
      <c r="C12" s="28" t="s">
        <v>138</v>
      </c>
      <c r="D12" s="29" t="s">
        <v>145</v>
      </c>
      <c r="E12" s="18"/>
      <c r="H12" s="28" t="s">
        <v>11</v>
      </c>
      <c r="I12" s="22"/>
      <c r="J12" s="65"/>
      <c r="K12" s="66"/>
    </row>
    <row r="13" spans="3:13" x14ac:dyDescent="0.25">
      <c r="C13" s="28" t="s">
        <v>139</v>
      </c>
      <c r="D13" s="29" t="s">
        <v>146</v>
      </c>
      <c r="E13" s="18"/>
      <c r="H13" s="37" t="s">
        <v>12</v>
      </c>
      <c r="I13" s="31"/>
      <c r="J13" s="67" t="s">
        <v>153</v>
      </c>
      <c r="K13" s="68"/>
    </row>
    <row r="14" spans="3:13" x14ac:dyDescent="0.25">
      <c r="C14" s="28" t="s">
        <v>140</v>
      </c>
      <c r="D14" s="29" t="s">
        <v>147</v>
      </c>
      <c r="E14" s="18"/>
      <c r="J14" s="19"/>
    </row>
    <row r="15" spans="3:13" x14ac:dyDescent="0.25">
      <c r="C15" s="28" t="s">
        <v>141</v>
      </c>
      <c r="D15" s="29" t="s">
        <v>148</v>
      </c>
      <c r="E15" s="18"/>
      <c r="J15" s="19"/>
    </row>
    <row r="16" spans="3:13" x14ac:dyDescent="0.25">
      <c r="C16" s="28" t="s">
        <v>142</v>
      </c>
      <c r="D16" s="29" t="s">
        <v>149</v>
      </c>
      <c r="E16" s="18"/>
      <c r="J16" s="19"/>
    </row>
    <row r="17" spans="2:11" x14ac:dyDescent="0.25">
      <c r="C17" s="28" t="s">
        <v>143</v>
      </c>
      <c r="D17" s="29" t="s">
        <v>150</v>
      </c>
      <c r="E17" s="18"/>
      <c r="J17" s="19"/>
    </row>
    <row r="18" spans="2:11" ht="15.75" thickBot="1" x14ac:dyDescent="0.3">
      <c r="C18" s="32" t="s">
        <v>144</v>
      </c>
      <c r="D18" s="33" t="s">
        <v>155</v>
      </c>
      <c r="E18" s="18"/>
      <c r="J18" s="19"/>
    </row>
    <row r="19" spans="2:11" x14ac:dyDescent="0.25">
      <c r="C19" s="28" t="s">
        <v>107</v>
      </c>
      <c r="D19" s="34"/>
      <c r="E19" s="18"/>
      <c r="I19" s="19"/>
      <c r="J19" s="19"/>
    </row>
    <row r="20" spans="2:11" x14ac:dyDescent="0.25">
      <c r="C20" s="28" t="s">
        <v>108</v>
      </c>
      <c r="D20" s="36" t="s">
        <v>132</v>
      </c>
      <c r="E20" s="18"/>
      <c r="I20" s="19"/>
      <c r="J20" s="19"/>
    </row>
    <row r="21" spans="2:11" x14ac:dyDescent="0.25">
      <c r="C21" s="25" t="s">
        <v>109</v>
      </c>
      <c r="D21" s="36" t="s">
        <v>133</v>
      </c>
      <c r="E21" s="18"/>
      <c r="I21" s="19"/>
      <c r="J21" s="19"/>
    </row>
    <row r="22" spans="2:11" x14ac:dyDescent="0.25">
      <c r="C22" s="28" t="s">
        <v>110</v>
      </c>
      <c r="D22" s="34" t="s">
        <v>135</v>
      </c>
      <c r="E22" s="18"/>
      <c r="I22" s="19"/>
      <c r="J22" s="19"/>
    </row>
    <row r="23" spans="2:11" x14ac:dyDescent="0.25">
      <c r="C23" s="37" t="s">
        <v>134</v>
      </c>
      <c r="D23" s="38" t="s">
        <v>136</v>
      </c>
      <c r="E23" s="18"/>
      <c r="I23" s="19"/>
      <c r="J23" s="19"/>
    </row>
    <row r="24" spans="2:11" x14ac:dyDescent="0.25">
      <c r="C24" s="19"/>
      <c r="E24" s="18"/>
      <c r="I24" s="61" t="s">
        <v>98</v>
      </c>
      <c r="J24" s="61"/>
      <c r="K24" s="61"/>
    </row>
    <row r="25" spans="2:11" x14ac:dyDescent="0.25">
      <c r="B25" s="39" t="s">
        <v>13</v>
      </c>
      <c r="C25" s="62" t="s">
        <v>14</v>
      </c>
      <c r="D25" s="62"/>
      <c r="E25" s="40" t="s">
        <v>15</v>
      </c>
      <c r="F25" s="40" t="s">
        <v>118</v>
      </c>
      <c r="G25" s="40" t="s">
        <v>119</v>
      </c>
      <c r="H25" s="40" t="s">
        <v>120</v>
      </c>
      <c r="I25" s="41" t="s">
        <v>121</v>
      </c>
      <c r="J25" s="41" t="s">
        <v>122</v>
      </c>
      <c r="K25" s="41" t="s">
        <v>123</v>
      </c>
    </row>
    <row r="26" spans="2:11" x14ac:dyDescent="0.25">
      <c r="B26" s="42">
        <v>1</v>
      </c>
      <c r="C26" s="60"/>
      <c r="D26" s="60"/>
      <c r="E26" s="43"/>
      <c r="F26" s="44"/>
      <c r="G26" s="54"/>
      <c r="H26" s="46"/>
      <c r="I26" s="57" t="str">
        <f t="shared" ref="I26" si="0">IF(E26*G26=0,"",E26*G26)</f>
        <v/>
      </c>
      <c r="J26" s="57" t="str">
        <f t="shared" ref="J26" si="1">IF(E26*G26=0,"",I26*H26)</f>
        <v/>
      </c>
      <c r="K26" s="57" t="str">
        <f t="shared" ref="K26" si="2">IF(E26*G26=0,"",I26+J26)</f>
        <v/>
      </c>
    </row>
    <row r="27" spans="2:11" x14ac:dyDescent="0.25">
      <c r="B27" s="42">
        <v>2</v>
      </c>
      <c r="C27" s="60"/>
      <c r="D27" s="60"/>
      <c r="E27" s="43"/>
      <c r="F27" s="44"/>
      <c r="G27" s="54"/>
      <c r="H27" s="46"/>
      <c r="I27" s="57" t="str">
        <f t="shared" ref="I27:I35" si="3">IF(E27*G27=0,"",E27*G27)</f>
        <v/>
      </c>
      <c r="J27" s="57" t="str">
        <f t="shared" ref="J27:J35" si="4">IF(E27*G27=0,"",I27*H27)</f>
        <v/>
      </c>
      <c r="K27" s="57" t="str">
        <f t="shared" ref="K27:K35" si="5">IF(E27*G27=0,"",I27+J27)</f>
        <v/>
      </c>
    </row>
    <row r="28" spans="2:11" x14ac:dyDescent="0.25">
      <c r="B28" s="42">
        <v>3</v>
      </c>
      <c r="C28" s="60"/>
      <c r="D28" s="60"/>
      <c r="E28" s="43"/>
      <c r="F28" s="44"/>
      <c r="G28" s="54"/>
      <c r="H28" s="46"/>
      <c r="I28" s="57" t="str">
        <f t="shared" si="3"/>
        <v/>
      </c>
      <c r="J28" s="57" t="str">
        <f t="shared" si="4"/>
        <v/>
      </c>
      <c r="K28" s="57" t="str">
        <f t="shared" si="5"/>
        <v/>
      </c>
    </row>
    <row r="29" spans="2:11" x14ac:dyDescent="0.25">
      <c r="B29" s="42">
        <v>4</v>
      </c>
      <c r="C29" s="60"/>
      <c r="D29" s="60"/>
      <c r="E29" s="43"/>
      <c r="F29" s="44"/>
      <c r="G29" s="54"/>
      <c r="H29" s="46"/>
      <c r="I29" s="57" t="str">
        <f t="shared" si="3"/>
        <v/>
      </c>
      <c r="J29" s="57" t="str">
        <f t="shared" si="4"/>
        <v/>
      </c>
      <c r="K29" s="57" t="str">
        <f t="shared" si="5"/>
        <v/>
      </c>
    </row>
    <row r="30" spans="2:11" x14ac:dyDescent="0.25">
      <c r="B30" s="42">
        <v>5</v>
      </c>
      <c r="C30" s="60"/>
      <c r="D30" s="60"/>
      <c r="E30" s="43"/>
      <c r="F30" s="44"/>
      <c r="G30" s="54"/>
      <c r="H30" s="45"/>
      <c r="I30" s="57" t="str">
        <f t="shared" si="3"/>
        <v/>
      </c>
      <c r="J30" s="57" t="str">
        <f t="shared" si="4"/>
        <v/>
      </c>
      <c r="K30" s="57" t="str">
        <f t="shared" si="5"/>
        <v/>
      </c>
    </row>
    <row r="31" spans="2:11" x14ac:dyDescent="0.25">
      <c r="B31" s="42">
        <v>6</v>
      </c>
      <c r="C31" s="60"/>
      <c r="D31" s="60"/>
      <c r="E31" s="43"/>
      <c r="F31" s="44"/>
      <c r="G31" s="54"/>
      <c r="H31" s="46"/>
      <c r="I31" s="57" t="str">
        <f t="shared" si="3"/>
        <v/>
      </c>
      <c r="J31" s="57" t="str">
        <f t="shared" si="4"/>
        <v/>
      </c>
      <c r="K31" s="57" t="str">
        <f t="shared" si="5"/>
        <v/>
      </c>
    </row>
    <row r="32" spans="2:11" x14ac:dyDescent="0.25">
      <c r="B32" s="42">
        <v>7</v>
      </c>
      <c r="C32" s="60"/>
      <c r="D32" s="60"/>
      <c r="E32" s="43"/>
      <c r="F32" s="44"/>
      <c r="G32" s="54"/>
      <c r="H32" s="46"/>
      <c r="I32" s="57" t="str">
        <f t="shared" si="3"/>
        <v/>
      </c>
      <c r="J32" s="57" t="str">
        <f t="shared" si="4"/>
        <v/>
      </c>
      <c r="K32" s="57" t="str">
        <f t="shared" si="5"/>
        <v/>
      </c>
    </row>
    <row r="33" spans="2:11" x14ac:dyDescent="0.25">
      <c r="B33" s="42">
        <v>8</v>
      </c>
      <c r="C33" s="60"/>
      <c r="D33" s="60"/>
      <c r="E33" s="43"/>
      <c r="F33" s="44"/>
      <c r="G33" s="54"/>
      <c r="H33" s="46"/>
      <c r="I33" s="57" t="str">
        <f t="shared" si="3"/>
        <v/>
      </c>
      <c r="J33" s="57" t="str">
        <f t="shared" si="4"/>
        <v/>
      </c>
      <c r="K33" s="57" t="str">
        <f t="shared" si="5"/>
        <v/>
      </c>
    </row>
    <row r="34" spans="2:11" x14ac:dyDescent="0.25">
      <c r="B34" s="42">
        <v>9</v>
      </c>
      <c r="C34" s="60"/>
      <c r="D34" s="60"/>
      <c r="E34" s="43"/>
      <c r="F34" s="44"/>
      <c r="G34" s="54"/>
      <c r="H34" s="46"/>
      <c r="I34" s="57" t="str">
        <f t="shared" si="3"/>
        <v/>
      </c>
      <c r="J34" s="57" t="str">
        <f t="shared" si="4"/>
        <v/>
      </c>
      <c r="K34" s="57" t="str">
        <f t="shared" si="5"/>
        <v/>
      </c>
    </row>
    <row r="35" spans="2:11" x14ac:dyDescent="0.25">
      <c r="B35" s="42">
        <v>10</v>
      </c>
      <c r="C35" s="60"/>
      <c r="D35" s="60"/>
      <c r="E35" s="43"/>
      <c r="F35" s="44"/>
      <c r="G35" s="54"/>
      <c r="H35" s="46"/>
      <c r="I35" s="57" t="str">
        <f t="shared" si="3"/>
        <v/>
      </c>
      <c r="J35" s="57" t="str">
        <f t="shared" si="4"/>
        <v/>
      </c>
      <c r="K35" s="57" t="str">
        <f t="shared" si="5"/>
        <v/>
      </c>
    </row>
    <row r="36" spans="2:11" x14ac:dyDescent="0.25">
      <c r="B36" s="21"/>
      <c r="C36" s="47"/>
      <c r="D36" s="21"/>
      <c r="E36" s="48"/>
      <c r="F36" s="49"/>
      <c r="G36" s="21"/>
      <c r="H36" s="21"/>
      <c r="I36" s="21"/>
      <c r="J36" s="50" t="s">
        <v>124</v>
      </c>
      <c r="K36" s="55" t="str">
        <f>IF(SUM(I26:I35)=0,"",SUM(I26:I35))</f>
        <v/>
      </c>
    </row>
    <row r="37" spans="2:11" x14ac:dyDescent="0.25">
      <c r="B37" s="21"/>
      <c r="C37" s="47"/>
      <c r="D37" s="21"/>
      <c r="E37" s="48"/>
      <c r="F37" s="49"/>
      <c r="G37" s="21"/>
      <c r="H37" s="21"/>
      <c r="I37" s="21"/>
      <c r="J37" s="50" t="s">
        <v>125</v>
      </c>
      <c r="K37" s="55" t="str">
        <f>IF(SUM(J26:J35)=0,"",SUM(J26:J35))</f>
        <v/>
      </c>
    </row>
    <row r="38" spans="2:11" ht="15.75" thickBot="1" x14ac:dyDescent="0.3">
      <c r="B38" s="21"/>
      <c r="C38" s="47"/>
      <c r="D38" s="21"/>
      <c r="E38" s="48"/>
      <c r="F38" s="49"/>
      <c r="G38" s="21"/>
      <c r="H38" s="21"/>
      <c r="I38" s="51"/>
      <c r="J38" s="52" t="s">
        <v>126</v>
      </c>
      <c r="K38" s="56" t="str">
        <f>IF(SUM(K26:K35)=0,"",SUM(K26:K35))</f>
        <v/>
      </c>
    </row>
    <row r="39" spans="2:11" ht="15.75" thickTop="1" x14ac:dyDescent="0.25">
      <c r="D39" s="21"/>
    </row>
    <row r="40" spans="2:11" x14ac:dyDescent="0.25">
      <c r="D40" s="21"/>
    </row>
    <row r="41" spans="2:11" x14ac:dyDescent="0.25">
      <c r="D41" s="21"/>
    </row>
    <row r="42" spans="2:11" x14ac:dyDescent="0.25">
      <c r="D42" s="21"/>
    </row>
  </sheetData>
  <mergeCells count="22">
    <mergeCell ref="J11:K11"/>
    <mergeCell ref="J12:K12"/>
    <mergeCell ref="J13:K13"/>
    <mergeCell ref="J3:K3"/>
    <mergeCell ref="J4:K4"/>
    <mergeCell ref="J5:K5"/>
    <mergeCell ref="J6:K6"/>
    <mergeCell ref="J7:K7"/>
    <mergeCell ref="J8:K8"/>
    <mergeCell ref="J9:K9"/>
    <mergeCell ref="C31:D31"/>
    <mergeCell ref="C32:D32"/>
    <mergeCell ref="C33:D33"/>
    <mergeCell ref="C34:D34"/>
    <mergeCell ref="C35:D35"/>
    <mergeCell ref="C29:D29"/>
    <mergeCell ref="C30:D30"/>
    <mergeCell ref="I24:K24"/>
    <mergeCell ref="C25:D25"/>
    <mergeCell ref="C26:D26"/>
    <mergeCell ref="C27:D27"/>
    <mergeCell ref="C28:D28"/>
  </mergeCells>
  <conditionalFormatting sqref="J5">
    <cfRule type="cellIs" dxfId="12" priority="21" operator="equal">
      <formula>""</formula>
    </cfRule>
  </conditionalFormatting>
  <conditionalFormatting sqref="J3">
    <cfRule type="cellIs" dxfId="11" priority="19" operator="equal">
      <formula>""</formula>
    </cfRule>
  </conditionalFormatting>
  <conditionalFormatting sqref="J4">
    <cfRule type="cellIs" dxfId="10" priority="18" operator="equal">
      <formula>""</formula>
    </cfRule>
  </conditionalFormatting>
  <conditionalFormatting sqref="J6">
    <cfRule type="cellIs" dxfId="9" priority="17" operator="equal">
      <formula>""</formula>
    </cfRule>
  </conditionalFormatting>
  <conditionalFormatting sqref="C26:C35">
    <cfRule type="expression" dxfId="8" priority="12">
      <formula>AND(ISBLANK(CELL("contents",INDIRECT(ADDRESS(ROW(), COLUMN())))),  OR(  NOT(ISBLANK(CELL("contents", INDIRECT(ADDRESS(ROW(), COLUMN()+1))))),  NOT(ISBLANK(CELL("contents", INDIRECT(ADDRESS(ROW(), COLUMN()+2))))),  NOT(ISBLANK(CELL("contents", INDIRECT(ADDRESS(ROW(), COLUMN()+3))))),  NOT((CELL("contents", INDIRECT(ADDRESS(ROW(), COLUMN()+4)))="")),  NOT((CELL("contents", INDIRECT(ADDRESS(ROW(), COLUMN()+5)))="")),  NOT((CELL("contents", INDIRECT(ADDRESS(ROW(), COLUMN()+6)))=""))))</formula>
    </cfRule>
  </conditionalFormatting>
  <conditionalFormatting sqref="E26:E35">
    <cfRule type="expression" dxfId="7" priority="11">
      <formula>AND(ISBLANK(CELL("contents",INDIRECT(ADDRESS(ROW(), COLUMN())))),  OR(  NOT(ISBLANK(CELL("contents", INDIRECT(ADDRESS(ROW(), COLUMN()-2))))),  NOT(ISBLANK(CELL("contents", INDIRECT(ADDRESS(ROW(), COLUMN()+1))))),  NOT(ISBLANK(CELL("contents", INDIRECT(ADDRESS(ROW(), COLUMN()+2))))),  NOT((CELL("contents", INDIRECT(ADDRESS(ROW(), COLUMN()+3)))="")),  NOT((CELL("contents", INDIRECT(ADDRESS(ROW(), COLUMN()+4)))="")),  NOT((CELL("contents", INDIRECT(ADDRESS(ROW(), COLUMN()+5)))=""))))</formula>
    </cfRule>
  </conditionalFormatting>
  <conditionalFormatting sqref="F26:F35">
    <cfRule type="expression" dxfId="6" priority="10">
      <formula>AND(ISBLANK(CELL("contents",INDIRECT(ADDRESS(ROW(), COLUMN())))),  OR(  NOT(ISBLANK(CELL("contents", INDIRECT(ADDRESS(ROW(), COLUMN()-3))))),  NOT(ISBLANK(CELL("contents", INDIRECT(ADDRESS(ROW(), COLUMN()-2))))),  NOT(ISBLANK(CELL("contents", INDIRECT(ADDRESS(ROW(), COLUMN()+1))))),  NOT((CELL("contents", INDIRECT(ADDRESS(ROW(), COLUMN()+2)))="")),  NOT((CELL("contents", INDIRECT(ADDRESS(ROW(), COLUMN()+3)))="")),  NOT((CELL("contents", INDIRECT(ADDRESS(ROW(), COLUMN()+4)))=""))))</formula>
    </cfRule>
  </conditionalFormatting>
  <conditionalFormatting sqref="G26:G35">
    <cfRule type="expression" dxfId="5" priority="9">
      <formula>AND(ISBLANK(CELL("contents",INDIRECT(ADDRESS(ROW(), COLUMN())))),  OR(  NOT(ISBLANK(CELL("contents", INDIRECT(ADDRESS(ROW(), COLUMN()-2))))),  NOT(ISBLANK(CELL("contents", INDIRECT(ADDRESS(ROW(), COLUMN()-3))))),  NOT(ISBLANK(CELL("contents", INDIRECT(ADDRESS(ROW(), COLUMN()-4))))),  NOT((CELL("contents", INDIRECT(ADDRESS(ROW(), COLUMN()+1)))="")),  NOT((CELL("contents", INDIRECT(ADDRESS(ROW(), COLUMN()+2)))="")),  NOT((CELL("contents", INDIRECT(ADDRESS(ROW(), COLUMN()+3)))=""))))</formula>
    </cfRule>
  </conditionalFormatting>
  <conditionalFormatting sqref="K36:K38">
    <cfRule type="cellIs" dxfId="4" priority="5" operator="equal">
      <formula>""</formula>
    </cfRule>
  </conditionalFormatting>
  <conditionalFormatting sqref="H26:H35">
    <cfRule type="expression" dxfId="3" priority="4">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I26:I35">
    <cfRule type="expression" dxfId="2" priority="3">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J26:J35">
    <cfRule type="expression" dxfId="1" priority="2">
      <formula>AND(CELL("contents",INDIRECT(ADDRESS(ROW(), COLUMN())))="",  OR(  NOT(CELL("contents", INDIRECT(ADDRESS(ROW(), COLUMN()+1)))=""),  NOT(CELL("contents", INDIRECT(ADDRESS(ROW(), COLUMN()-2)))=""),  NOT(ISBLANK(CELL("contents", INDIRECT(ADDRESS(ROW(), COLUMN()-3))))),  NOT(ISBLANK(CELL("contents", INDIRECT(ADDRESS(ROW(), COLUMN()-4))))),  NOT(ISBLANK(CELL("contents", INDIRECT(ADDRESS(ROW(), COLUMN()-5))))),  NOT(ISBLANK(CELL("contents", INDIRECT(ADDRESS(ROW(), COLUMN()-6)))))))</formula>
    </cfRule>
  </conditionalFormatting>
  <conditionalFormatting sqref="K26:K35">
    <cfRule type="expression" dxfId="0" priority="1">
      <formula>AND(CELL("contents",INDIRECT(ADDRESS(ROW(), COLUMN())))="",  OR(  NOT(CELL("contents", INDIRECT(ADDRESS(ROW(), COLUMN()-2)))=""),  NOT(CELL("contents", INDIRECT(ADDRESS(ROW(), COLUMN()-3)))=""),  NOT(ISBLANK(CELL("contents", INDIRECT(ADDRESS(ROW(), COLUMN()-4))))),  NOT(ISBLANK(CELL("contents", INDIRECT(ADDRESS(ROW(), COLUMN()-5))))),  NOT(ISBLANK(CELL("contents", INDIRECT(ADDRESS(ROW(), COLUMN()-6))))),  NOT(ISBLANK(CELL("contents", INDIRECT(ADDRESS(ROW(), COLUMN()-7)))))))</formula>
    </cfRule>
  </conditionalFormatting>
  <dataValidations count="15">
    <dataValidation type="textLength" allowBlank="1" showInputMessage="1" showErrorMessage="1" error="expected result:_x000a_Mandatory Field, Text, Value between 1 to 50 symbols" prompt="Mandatory Field, Text, Value between 1 to 50 symbols" sqref="J4">
      <formula1>1</formula1>
      <formula2>50</formula2>
    </dataValidation>
    <dataValidation type="textLength" showInputMessage="1" showErrorMessage="1" error="expected result:_x000a_Mandatory Field, Text, Value between 1 to 100 symbols" prompt="Mandatory Field, Text, Value between 1 to 100 symbols" sqref="C26:C1048576">
      <formula1>1</formula1>
      <formula2>100</formula2>
    </dataValidation>
    <dataValidation type="textLength" allowBlank="1" showInputMessage="1" showErrorMessage="1" error="expected result:_x000a_Text, Value between 0 to 100 symbols" prompt="Text, Value between 0 to 100 symbols" sqref="D3:D5 D9 D19:D23">
      <formula1>0</formula1>
      <formula2>100</formula2>
    </dataValidation>
    <dataValidation type="textLength" allowBlank="1" showInputMessage="1" showErrorMessage="1" error="expected result:_x000a_Text, Value between 0 to 40 symbols" prompt="Text, Value between 0 to 40 symbols" sqref="D6 D8 D10:D18">
      <formula1>0</formula1>
      <formula2>40</formula2>
    </dataValidation>
    <dataValidation type="textLength" allowBlank="1" showInputMessage="1" showErrorMessage="1" error="expected result:_x000a_Text, Value between 0 to 60 symbols" prompt="Text, Value between 0 to 60 symbols" sqref="D7">
      <formula1>0</formula1>
      <formula2>60</formula2>
    </dataValidation>
    <dataValidation type="textLength" allowBlank="1" showInputMessage="1" showErrorMessage="1" error="expected result:_x000a_Text, Value between 0 to 16 symbols" prompt="Text, Value between 0 to 16 symbols" sqref="J12">
      <formula1>0</formula1>
      <formula2>16</formula2>
    </dataValidation>
    <dataValidation type="textLength" allowBlank="1" showInputMessage="1" showErrorMessage="1" error="expected result:_x000a_Text, Value between 0 to 8 symbols" prompt="Text, Value between 0 to 8 symbols" sqref="J13">
      <formula1>0</formula1>
      <formula2>8</formula2>
    </dataValidation>
    <dataValidation type="textLength" allowBlank="1" showInputMessage="1" showErrorMessage="1" error="expected result:_x000a_Text, Value between 0 to 50 symbols" prompt="Text, Value between 0 to 50 symbols" sqref="J7">
      <formula1>0</formula1>
      <formula2>50</formula2>
    </dataValidation>
    <dataValidation type="textLength" allowBlank="1" showInputMessage="1" showErrorMessage="1" error="exepted result:_x000a_Text, Value between 0 to 100 symbols" prompt="Text, Value between 0 to 100 symbols" sqref="J8">
      <formula1>0</formula1>
      <formula2>100</formula2>
    </dataValidation>
    <dataValidation type="date" operator="notEqual" allowBlank="1" showInputMessage="1" showErrorMessage="1" error="expected reuslt:_x000a_Date format  DD/MM/YYYY or  DD.MM.YYYY" prompt="Date format  DD/MM/YYYY or  DD.MM.YYYY" sqref="J9">
      <formula1>401769</formula1>
    </dataValidation>
    <dataValidation type="date" operator="notEqual" showInputMessage="1" showErrorMessage="1" error="expected reuslt:_x000a_Date format  DD/MM/YYYY or  DD.MM.YYYY" prompt="Date format DD/MM/YYYY or  DD.MM.YYYY" sqref="J5:J6">
      <formula1>401769</formula1>
    </dataValidation>
    <dataValidation type="decimal" showInputMessage="1" showErrorMessage="1" error="expected result:_x000a_Mandatory Field, Double, Value between 0,0 to 999999,0" prompt="Mandatory Field, Double, Value between 0,0 to 999999,0" sqref="E26:E38 D43:D1048576">
      <formula1>0</formula1>
      <formula2>999999</formula2>
    </dataValidation>
    <dataValidation type="textLength" showInputMessage="1" showErrorMessage="1" error="expected result:_x000a_Mandatory Field, Text, Value between 1 to 50 symbols" prompt="Mandatory Field, Text, Value between 1 to 50 symbols" sqref="E39:E1048576 F26:F38">
      <formula1>1</formula1>
      <formula2>50</formula2>
    </dataValidation>
    <dataValidation type="decimal" showInputMessage="1" showErrorMessage="1" error="expected result:_x000a_Mandatory Field, Currency, Value between 0 to 9999999,00" prompt="Mandatory Field, Currency, Value between 0 to 9999999,00" sqref="F39:G1048576 G26:G38 I26:I38">
      <formula1>0</formula1>
      <formula2>9999999</formula2>
    </dataValidation>
    <dataValidation type="decimal" allowBlank="1" showInputMessage="1" showErrorMessage="1" errorTitle="Incorrect Value" error="Click &quot;Cancel&quot; and tryg again. Input percentage between 0 and 100" promptTitle="Mandatory field" prompt="Input percentage between 0 and 100" sqref="H26:H35">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ælg fra rullemenuen" error="Vælg enten &quot;Faktura&quot; eller &quot;Kreditnota&quot;." promptTitle="Select from list" prompt="Select &quot;Invoice&quot; or &quot;Credit Note&quot;.">
          <x14:formula1>
            <xm:f>Lists!$A$2:$A$3</xm:f>
          </x14:formula1>
          <xm:sqref>J3:K3</xm:sqref>
        </x14:dataValidation>
        <x14:dataValidation type="list" allowBlank="1" showInputMessage="1" showErrorMessage="1" errorTitle="Vælg fra listen" error="Du kan kun vælge blandt FIK typer fra listen." promptTitle="Select from list" prompt="Select FIK Type from the list.">
          <x14:formula1>
            <xm:f>Lists!$C$2:$C$7</xm:f>
          </x14:formula1>
          <xm:sqref>J11:K11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7"/>
  <sheetViews>
    <sheetView workbookViewId="0"/>
  </sheetViews>
  <sheetFormatPr defaultRowHeight="15" x14ac:dyDescent="0.25"/>
  <cols>
    <col min="1" max="1" width="12.375" bestFit="1" customWidth="1"/>
  </cols>
  <sheetData>
    <row r="1" spans="1:5" x14ac:dyDescent="0.25">
      <c r="A1" s="12" t="s">
        <v>93</v>
      </c>
      <c r="C1" s="12" t="s">
        <v>94</v>
      </c>
      <c r="E1" s="12" t="s">
        <v>95</v>
      </c>
    </row>
    <row r="2" spans="1:5" x14ac:dyDescent="0.25">
      <c r="A2" s="13" t="s">
        <v>129</v>
      </c>
      <c r="C2" s="14" t="str">
        <f>"01"</f>
        <v>01</v>
      </c>
      <c r="E2" s="13"/>
    </row>
    <row r="3" spans="1:5" x14ac:dyDescent="0.25">
      <c r="A3" s="13" t="s">
        <v>130</v>
      </c>
      <c r="C3" s="14" t="str">
        <f>"04"</f>
        <v>04</v>
      </c>
      <c r="E3" s="13" t="s">
        <v>96</v>
      </c>
    </row>
    <row r="4" spans="1:5" x14ac:dyDescent="0.25">
      <c r="C4" s="13">
        <v>15</v>
      </c>
      <c r="E4" s="13" t="s">
        <v>97</v>
      </c>
    </row>
    <row r="5" spans="1:5" x14ac:dyDescent="0.25">
      <c r="C5" s="13">
        <v>71</v>
      </c>
    </row>
    <row r="6" spans="1:5" x14ac:dyDescent="0.25">
      <c r="C6" s="13">
        <v>73</v>
      </c>
    </row>
    <row r="7" spans="1:5" x14ac:dyDescent="0.25">
      <c r="C7" s="13">
        <v>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58</vt:i4>
      </vt:variant>
    </vt:vector>
  </HeadingPairs>
  <TitlesOfParts>
    <vt:vector size="61" baseType="lpstr">
      <vt:lpstr>Template</vt:lpstr>
      <vt:lpstr>Invoice</vt:lpstr>
      <vt:lpstr>Lists</vt:lpstr>
      <vt:lpstr>Template!ageMonths</vt:lpstr>
      <vt:lpstr>Template!ageYears</vt:lpstr>
      <vt:lpstr>Template!category</vt:lpstr>
      <vt:lpstr>Template!claimNumber</vt:lpstr>
      <vt:lpstr>Template!claimSelfRisk</vt:lpstr>
      <vt:lpstr>Template!claimTakenSelfRisk</vt:lpstr>
      <vt:lpstr>Template!customerDemand</vt:lpstr>
      <vt:lpstr>Template!description</vt:lpstr>
      <vt:lpstr>Template!discretionaryValuation</vt:lpstr>
      <vt:lpstr>Template!insuranceCompanyName</vt:lpstr>
      <vt:lpstr>Invoice!invoiceBankAccountNumber</vt:lpstr>
      <vt:lpstr>Invoice!invoiceBankName</vt:lpstr>
      <vt:lpstr>Invoice!invoiceBankRegNumber</vt:lpstr>
      <vt:lpstr>Invoice!invoiceCreditNoteNumber</vt:lpstr>
      <vt:lpstr>Invoice!invoiceDate</vt:lpstr>
      <vt:lpstr>Invoice!invoiceDateOfValuation</vt:lpstr>
      <vt:lpstr>Invoice!invoiceDescription</vt:lpstr>
      <vt:lpstr>Invoice!invoiceFikCreditorCode</vt:lpstr>
      <vt:lpstr>Invoice!invoiceFikNumber</vt:lpstr>
      <vt:lpstr>Invoice!invoiceFikType</vt:lpstr>
      <vt:lpstr>Invoice!invoiceIbanNumber</vt:lpstr>
      <vt:lpstr>Invoice!invoiceLineIndex</vt:lpstr>
      <vt:lpstr>Invoice!invoiceLineTotal</vt:lpstr>
      <vt:lpstr>Invoice!invoiceNameOfValuationResponsible</vt:lpstr>
      <vt:lpstr>Invoice!invoiceNetAmount</vt:lpstr>
      <vt:lpstr>Invoice!invoiceNumber</vt:lpstr>
      <vt:lpstr>Invoice!invoicePaymentDueDate</vt:lpstr>
      <vt:lpstr>Invoice!invoiceQuantity</vt:lpstr>
      <vt:lpstr>Invoice!invoiceSepaAddress1</vt:lpstr>
      <vt:lpstr>Invoice!invoiceSepaAddress2</vt:lpstr>
      <vt:lpstr>Invoice!invoiceSepaCity</vt:lpstr>
      <vt:lpstr>Invoice!invoiceSepaCvr</vt:lpstr>
      <vt:lpstr>Invoice!invoiceSepaEmail</vt:lpstr>
      <vt:lpstr>Invoice!invoiceSepaId</vt:lpstr>
      <vt:lpstr>Invoice!invoiceSepaName</vt:lpstr>
      <vt:lpstr>Invoice!invoiceSepaPhone</vt:lpstr>
      <vt:lpstr>Invoice!invoiceSepaPostalCode</vt:lpstr>
      <vt:lpstr>Invoice!invoiceTotalAmount</vt:lpstr>
      <vt:lpstr>Invoice!invoiceType</vt:lpstr>
      <vt:lpstr>Invoice!invoiceUnitNetAmount</vt:lpstr>
      <vt:lpstr>Invoice!invoiceUnitPrice</vt:lpstr>
      <vt:lpstr>Invoice!invoiceUnits</vt:lpstr>
      <vt:lpstr>Invoice!invoiceUnitVatAmount</vt:lpstr>
      <vt:lpstr>Invoice!invoiceVat</vt:lpstr>
      <vt:lpstr>Template!lineGuid</vt:lpstr>
      <vt:lpstr>Template!lineIndex</vt:lpstr>
      <vt:lpstr>Template!newPrice</vt:lpstr>
      <vt:lpstr>Template!originalDescription</vt:lpstr>
      <vt:lpstr>Template!purchasePrice</vt:lpstr>
      <vt:lpstr>Template!quantity</vt:lpstr>
      <vt:lpstr>Template!repairEstimate</vt:lpstr>
      <vt:lpstr>Template!repairPrice</vt:lpstr>
      <vt:lpstr>Template!replyAddress</vt:lpstr>
      <vt:lpstr>Template!servicePartnerNote</vt:lpstr>
      <vt:lpstr>Template!subCategory</vt:lpstr>
      <vt:lpstr>Template!taskType</vt:lpstr>
      <vt:lpstr>Template!totalDamage</vt:lpstr>
      <vt:lpstr>Template!usedPrice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Igor Makarychev</dc:creator>
  <cp:lastModifiedBy>Ian Pomanitskiy</cp:lastModifiedBy>
  <dcterms:created xsi:type="dcterms:W3CDTF">2014-07-17T08:39:23Z</dcterms:created>
  <dcterms:modified xsi:type="dcterms:W3CDTF">2016-11-25T15:46:39Z</dcterms:modified>
</cp:coreProperties>
</file>